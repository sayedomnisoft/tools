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PO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41C5C"/>
      <sz val="14"/>
    </font>
  </fonts>
  <fills count="4">
    <fill>
      <patternFill/>
    </fill>
    <fill>
      <patternFill patternType="gray125"/>
    </fill>
    <fill>
      <patternFill patternType="solid">
        <fgColor rgb="00141C5C"/>
      </patternFill>
    </fill>
    <fill>
      <patternFill patternType="solid">
        <fgColor rgb="00F3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1" fillId="2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Free purchase order template from The Gantry (gantry.work)</t>
        </is>
      </c>
    </row>
    <row r="2">
      <c r="A2" t="inlineStr"/>
    </row>
    <row r="3">
      <c r="A3" t="inlineStr">
        <is>
          <t>1. Open this file in Google Sheets: File &gt; Import &gt; Upload, or open it from Google Drive.</t>
        </is>
      </c>
    </row>
    <row r="4">
      <c r="A4" t="inlineStr">
        <is>
          <t>2. Add your suppliers on the Suppliers tab. The supplier email fills itself in on the POs tab.</t>
        </is>
      </c>
    </row>
    <row r="5">
      <c r="A5" t="inlineStr">
        <is>
          <t>3. On the POs tab, fill in the white columns. Grey columns (PO No, email, amounts, totals) are formulas: do not type over them.</t>
        </is>
      </c>
    </row>
    <row r="6">
      <c r="A6" t="inlineStr">
        <is>
          <t>4. When a PO is ready to go, set Status to Ready. The Make scenario in the guide then creates the PO document, emails the PDF to the supplier and sets Status to Sent.</t>
        </is>
      </c>
    </row>
    <row r="7">
      <c r="A7" t="inlineStr">
        <is>
          <t>5. Filter by Status to see open orders. Do not sort the POs tab: PO numbers come from the row number.</t>
        </is>
      </c>
    </row>
    <row r="8">
      <c r="A8" t="inlineStr"/>
    </row>
    <row r="9">
      <c r="A9" t="inlineStr">
        <is>
          <t>Full setup guide: https://www.gantry.work/p/purchase-order-template-google-sheets</t>
        </is>
      </c>
    </row>
    <row r="10">
      <c r="A10" t="inlineStr">
        <is>
          <t>Stuck? https://tools.gantry.work/automation-help/?from=po-template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22" customWidth="1" min="4" max="4"/>
    <col width="26" customWidth="1" min="5" max="5"/>
    <col width="11" customWidth="1" min="6" max="6"/>
    <col width="22" customWidth="1" min="7" max="7"/>
    <col width="6" customWidth="1" min="8" max="8"/>
    <col width="9" customWidth="1" min="9" max="9"/>
    <col width="10" customWidth="1" min="10" max="10"/>
    <col width="18" customWidth="1" min="11" max="11"/>
    <col width="6" customWidth="1" min="12" max="12"/>
    <col width="9" customWidth="1" min="13" max="13"/>
    <col width="10" customWidth="1" min="14" max="14"/>
    <col width="18" customWidth="1" min="15" max="15"/>
    <col width="6" customWidth="1" min="16" max="16"/>
    <col width="9" customWidth="1" min="17" max="17"/>
    <col width="10" customWidth="1" min="18" max="18"/>
    <col width="11" customWidth="1" min="19" max="19"/>
    <col width="9" customWidth="1" min="20" max="20"/>
    <col width="11" customWidth="1" min="21" max="21"/>
    <col width="14" customWidth="1" min="22" max="22"/>
    <col width="11" customWidth="1" min="23" max="23"/>
    <col width="30" customWidth="1" min="24" max="24"/>
    <col width="11" customWidth="1" min="25" max="25"/>
  </cols>
  <sheetData>
    <row r="1" ht="30" customHeight="1">
      <c r="A1" s="2" t="inlineStr">
        <is>
          <t>PO No</t>
        </is>
      </c>
      <c r="B1" s="2" t="inlineStr">
        <is>
          <t>Date</t>
        </is>
      </c>
      <c r="C1" s="2" t="inlineStr">
        <is>
          <t>Supplier</t>
        </is>
      </c>
      <c r="D1" s="2" t="inlineStr">
        <is>
          <t>Supplier email</t>
        </is>
      </c>
      <c r="E1" s="2" t="inlineStr">
        <is>
          <t>Deliver to</t>
        </is>
      </c>
      <c r="F1" s="2" t="inlineStr">
        <is>
          <t>Needed by</t>
        </is>
      </c>
      <c r="G1" s="2" t="inlineStr">
        <is>
          <t>Item 1</t>
        </is>
      </c>
      <c r="H1" s="2" t="inlineStr">
        <is>
          <t>Qty 1</t>
        </is>
      </c>
      <c r="I1" s="2" t="inlineStr">
        <is>
          <t>Price 1</t>
        </is>
      </c>
      <c r="J1" s="2" t="inlineStr">
        <is>
          <t>Amount 1</t>
        </is>
      </c>
      <c r="K1" s="2" t="inlineStr">
        <is>
          <t>Item 2</t>
        </is>
      </c>
      <c r="L1" s="2" t="inlineStr">
        <is>
          <t>Qty 2</t>
        </is>
      </c>
      <c r="M1" s="2" t="inlineStr">
        <is>
          <t>Price 2</t>
        </is>
      </c>
      <c r="N1" s="2" t="inlineStr">
        <is>
          <t>Amount 2</t>
        </is>
      </c>
      <c r="O1" s="2" t="inlineStr">
        <is>
          <t>Item 3</t>
        </is>
      </c>
      <c r="P1" s="2" t="inlineStr">
        <is>
          <t>Qty 3</t>
        </is>
      </c>
      <c r="Q1" s="2" t="inlineStr">
        <is>
          <t>Price 3</t>
        </is>
      </c>
      <c r="R1" s="2" t="inlineStr">
        <is>
          <t>Amount 3</t>
        </is>
      </c>
      <c r="S1" s="2" t="inlineStr">
        <is>
          <t>Subtotal</t>
        </is>
      </c>
      <c r="T1" s="2" t="inlineStr">
        <is>
          <t>GST</t>
        </is>
      </c>
      <c r="U1" s="2" t="inlineStr">
        <is>
          <t>Total</t>
        </is>
      </c>
      <c r="V1" s="2" t="inlineStr">
        <is>
          <t>Requested by</t>
        </is>
      </c>
      <c r="W1" s="2" t="inlineStr">
        <is>
          <t>Status</t>
        </is>
      </c>
      <c r="X1" s="2" t="inlineStr">
        <is>
          <t>PO document</t>
        </is>
      </c>
      <c r="Y1" s="2" t="inlineStr">
        <is>
          <t>Sent on</t>
        </is>
      </c>
    </row>
    <row r="2">
      <c r="A2" s="3">
        <f>IF(C2="","","PO-"&amp;TEXT(ROW()-1,"0000"))</f>
        <v/>
      </c>
      <c r="B2" t="inlineStr">
        <is>
          <t>2026-10-20</t>
        </is>
      </c>
      <c r="C2" t="inlineStr">
        <is>
          <t>Bright Packaging</t>
        </is>
      </c>
      <c r="D2" s="3">
        <f>IF(C2="","",IFERROR(VLOOKUP(C2,Suppliers!A:B,2,FALSE),""))</f>
        <v/>
      </c>
      <c r="E2" t="inlineStr">
        <is>
          <t>Main warehouse, 12 Example Road</t>
        </is>
      </c>
      <c r="F2" t="inlineStr">
        <is>
          <t>2026-10-27</t>
        </is>
      </c>
      <c r="G2" t="inlineStr">
        <is>
          <t>Carton box 40x30x30</t>
        </is>
      </c>
      <c r="H2" t="n">
        <v>200</v>
      </c>
      <c r="I2" s="4" t="n">
        <v>1.85</v>
      </c>
      <c r="J2" s="5">
        <f>IF(OR(H2="",I2=""),"",ROUND(H2*I2,2))</f>
        <v/>
      </c>
      <c r="K2" t="inlineStr">
        <is>
          <t>Packing tape 48mm</t>
        </is>
      </c>
      <c r="L2" t="n">
        <v>50</v>
      </c>
      <c r="M2" s="4" t="n">
        <v>2.4</v>
      </c>
      <c r="N2" s="5">
        <f>IF(OR(L2="",M2=""),"",ROUND(L2*M2,2))</f>
        <v/>
      </c>
      <c r="Q2" s="4" t="n"/>
      <c r="R2" s="5">
        <f>IF(OR(P2="",Q2=""),"",ROUND(P2*Q2,2))</f>
        <v/>
      </c>
      <c r="S2" s="5">
        <f>IF(C2="","",SUM(J2,N2,R2))</f>
        <v/>
      </c>
      <c r="T2" s="5">
        <f>IF(C2="","",ROUND(S2*Settings!$B$2,2))</f>
        <v/>
      </c>
      <c r="U2" s="5">
        <f>IF(C2="","",S2+T2)</f>
        <v/>
      </c>
      <c r="V2" t="inlineStr">
        <is>
          <t>Mei Ling</t>
        </is>
      </c>
      <c r="W2" t="inlineStr">
        <is>
          <t>Ready</t>
        </is>
      </c>
    </row>
    <row r="3">
      <c r="A3" s="3">
        <f>IF(C3="","","PO-"&amp;TEXT(ROW()-1,"0000"))</f>
        <v/>
      </c>
      <c r="B3" t="inlineStr">
        <is>
          <t>2026-10-21</t>
        </is>
      </c>
      <c r="C3" t="inlineStr">
        <is>
          <t>Harbour Supplies</t>
        </is>
      </c>
      <c r="D3" s="3">
        <f>IF(C3="","",IFERROR(VLOOKUP(C3,Suppliers!A:B,2,FALSE),""))</f>
        <v/>
      </c>
      <c r="E3" t="inlineStr">
        <is>
          <t>Main warehouse, 12 Example Road</t>
        </is>
      </c>
      <c r="F3" t="inlineStr">
        <is>
          <t>2026-10-30</t>
        </is>
      </c>
      <c r="G3" t="inlineStr">
        <is>
          <t>Pallet wrap 500mm</t>
        </is>
      </c>
      <c r="H3" t="n">
        <v>24</v>
      </c>
      <c r="I3" s="4" t="n">
        <v>14.5</v>
      </c>
      <c r="J3" s="5">
        <f>IF(OR(H3="",I3=""),"",ROUND(H3*I3,2))</f>
        <v/>
      </c>
      <c r="M3" s="4" t="n"/>
      <c r="N3" s="5">
        <f>IF(OR(L3="",M3=""),"",ROUND(L3*M3,2))</f>
        <v/>
      </c>
      <c r="Q3" s="4" t="n"/>
      <c r="R3" s="5">
        <f>IF(OR(P3="",Q3=""),"",ROUND(P3*Q3,2))</f>
        <v/>
      </c>
      <c r="S3" s="5">
        <f>IF(C3="","",SUM(J3,N3,R3))</f>
        <v/>
      </c>
      <c r="T3" s="5">
        <f>IF(C3="","",ROUND(S3*Settings!$B$2,2))</f>
        <v/>
      </c>
      <c r="U3" s="5">
        <f>IF(C3="","",S3+T3)</f>
        <v/>
      </c>
      <c r="V3" t="inlineStr">
        <is>
          <t>Mei Ling</t>
        </is>
      </c>
      <c r="W3" t="inlineStr">
        <is>
          <t>Draft</t>
        </is>
      </c>
    </row>
    <row r="4">
      <c r="A4" s="3">
        <f>IF(C4="","","PO-"&amp;TEXT(ROW()-1,"0000"))</f>
        <v/>
      </c>
      <c r="D4" s="3">
        <f>IF(C4="","",IFERROR(VLOOKUP(C4,Suppliers!A:B,2,FALSE),""))</f>
        <v/>
      </c>
      <c r="I4" s="4" t="n"/>
      <c r="J4" s="5">
        <f>IF(OR(H4="",I4=""),"",ROUND(H4*I4,2))</f>
        <v/>
      </c>
      <c r="M4" s="4" t="n"/>
      <c r="N4" s="5">
        <f>IF(OR(L4="",M4=""),"",ROUND(L4*M4,2))</f>
        <v/>
      </c>
      <c r="Q4" s="4" t="n"/>
      <c r="R4" s="5">
        <f>IF(OR(P4="",Q4=""),"",ROUND(P4*Q4,2))</f>
        <v/>
      </c>
      <c r="S4" s="5">
        <f>IF(C4="","",SUM(J4,N4,R4))</f>
        <v/>
      </c>
      <c r="T4" s="5">
        <f>IF(C4="","",ROUND(S4*Settings!$B$2,2))</f>
        <v/>
      </c>
      <c r="U4" s="5">
        <f>IF(C4="","",S4+T4)</f>
        <v/>
      </c>
    </row>
    <row r="5">
      <c r="A5" s="3">
        <f>IF(C5="","","PO-"&amp;TEXT(ROW()-1,"0000"))</f>
        <v/>
      </c>
      <c r="D5" s="3">
        <f>IF(C5="","",IFERROR(VLOOKUP(C5,Suppliers!A:B,2,FALSE),""))</f>
        <v/>
      </c>
      <c r="I5" s="4" t="n"/>
      <c r="J5" s="5">
        <f>IF(OR(H5="",I5=""),"",ROUND(H5*I5,2))</f>
        <v/>
      </c>
      <c r="M5" s="4" t="n"/>
      <c r="N5" s="5">
        <f>IF(OR(L5="",M5=""),"",ROUND(L5*M5,2))</f>
        <v/>
      </c>
      <c r="Q5" s="4" t="n"/>
      <c r="R5" s="5">
        <f>IF(OR(P5="",Q5=""),"",ROUND(P5*Q5,2))</f>
        <v/>
      </c>
      <c r="S5" s="5">
        <f>IF(C5="","",SUM(J5,N5,R5))</f>
        <v/>
      </c>
      <c r="T5" s="5">
        <f>IF(C5="","",ROUND(S5*Settings!$B$2,2))</f>
        <v/>
      </c>
      <c r="U5" s="5">
        <f>IF(C5="","",S5+T5)</f>
        <v/>
      </c>
    </row>
    <row r="6">
      <c r="A6" s="3">
        <f>IF(C6="","","PO-"&amp;TEXT(ROW()-1,"0000"))</f>
        <v/>
      </c>
      <c r="D6" s="3">
        <f>IF(C6="","",IFERROR(VLOOKUP(C6,Suppliers!A:B,2,FALSE),""))</f>
        <v/>
      </c>
      <c r="I6" s="4" t="n"/>
      <c r="J6" s="5">
        <f>IF(OR(H6="",I6=""),"",ROUND(H6*I6,2))</f>
        <v/>
      </c>
      <c r="M6" s="4" t="n"/>
      <c r="N6" s="5">
        <f>IF(OR(L6="",M6=""),"",ROUND(L6*M6,2))</f>
        <v/>
      </c>
      <c r="Q6" s="4" t="n"/>
      <c r="R6" s="5">
        <f>IF(OR(P6="",Q6=""),"",ROUND(P6*Q6,2))</f>
        <v/>
      </c>
      <c r="S6" s="5">
        <f>IF(C6="","",SUM(J6,N6,R6))</f>
        <v/>
      </c>
      <c r="T6" s="5">
        <f>IF(C6="","",ROUND(S6*Settings!$B$2,2))</f>
        <v/>
      </c>
      <c r="U6" s="5">
        <f>IF(C6="","",S6+T6)</f>
        <v/>
      </c>
    </row>
    <row r="7">
      <c r="A7" s="3">
        <f>IF(C7="","","PO-"&amp;TEXT(ROW()-1,"0000"))</f>
        <v/>
      </c>
      <c r="D7" s="3">
        <f>IF(C7="","",IFERROR(VLOOKUP(C7,Suppliers!A:B,2,FALSE),""))</f>
        <v/>
      </c>
      <c r="I7" s="4" t="n"/>
      <c r="J7" s="5">
        <f>IF(OR(H7="",I7=""),"",ROUND(H7*I7,2))</f>
        <v/>
      </c>
      <c r="M7" s="4" t="n"/>
      <c r="N7" s="5">
        <f>IF(OR(L7="",M7=""),"",ROUND(L7*M7,2))</f>
        <v/>
      </c>
      <c r="Q7" s="4" t="n"/>
      <c r="R7" s="5">
        <f>IF(OR(P7="",Q7=""),"",ROUND(P7*Q7,2))</f>
        <v/>
      </c>
      <c r="S7" s="5">
        <f>IF(C7="","",SUM(J7,N7,R7))</f>
        <v/>
      </c>
      <c r="T7" s="5">
        <f>IF(C7="","",ROUND(S7*Settings!$B$2,2))</f>
        <v/>
      </c>
      <c r="U7" s="5">
        <f>IF(C7="","",S7+T7)</f>
        <v/>
      </c>
    </row>
    <row r="8">
      <c r="A8" s="3">
        <f>IF(C8="","","PO-"&amp;TEXT(ROW()-1,"0000"))</f>
        <v/>
      </c>
      <c r="D8" s="3">
        <f>IF(C8="","",IFERROR(VLOOKUP(C8,Suppliers!A:B,2,FALSE),""))</f>
        <v/>
      </c>
      <c r="I8" s="4" t="n"/>
      <c r="J8" s="5">
        <f>IF(OR(H8="",I8=""),"",ROUND(H8*I8,2))</f>
        <v/>
      </c>
      <c r="M8" s="4" t="n"/>
      <c r="N8" s="5">
        <f>IF(OR(L8="",M8=""),"",ROUND(L8*M8,2))</f>
        <v/>
      </c>
      <c r="Q8" s="4" t="n"/>
      <c r="R8" s="5">
        <f>IF(OR(P8="",Q8=""),"",ROUND(P8*Q8,2))</f>
        <v/>
      </c>
      <c r="S8" s="5">
        <f>IF(C8="","",SUM(J8,N8,R8))</f>
        <v/>
      </c>
      <c r="T8" s="5">
        <f>IF(C8="","",ROUND(S8*Settings!$B$2,2))</f>
        <v/>
      </c>
      <c r="U8" s="5">
        <f>IF(C8="","",S8+T8)</f>
        <v/>
      </c>
    </row>
    <row r="9">
      <c r="A9" s="3">
        <f>IF(C9="","","PO-"&amp;TEXT(ROW()-1,"0000"))</f>
        <v/>
      </c>
      <c r="D9" s="3">
        <f>IF(C9="","",IFERROR(VLOOKUP(C9,Suppliers!A:B,2,FALSE),""))</f>
        <v/>
      </c>
      <c r="I9" s="4" t="n"/>
      <c r="J9" s="5">
        <f>IF(OR(H9="",I9=""),"",ROUND(H9*I9,2))</f>
        <v/>
      </c>
      <c r="M9" s="4" t="n"/>
      <c r="N9" s="5">
        <f>IF(OR(L9="",M9=""),"",ROUND(L9*M9,2))</f>
        <v/>
      </c>
      <c r="Q9" s="4" t="n"/>
      <c r="R9" s="5">
        <f>IF(OR(P9="",Q9=""),"",ROUND(P9*Q9,2))</f>
        <v/>
      </c>
      <c r="S9" s="5">
        <f>IF(C9="","",SUM(J9,N9,R9))</f>
        <v/>
      </c>
      <c r="T9" s="5">
        <f>IF(C9="","",ROUND(S9*Settings!$B$2,2))</f>
        <v/>
      </c>
      <c r="U9" s="5">
        <f>IF(C9="","",S9+T9)</f>
        <v/>
      </c>
    </row>
    <row r="10">
      <c r="A10" s="3">
        <f>IF(C10="","","PO-"&amp;TEXT(ROW()-1,"0000"))</f>
        <v/>
      </c>
      <c r="D10" s="3">
        <f>IF(C10="","",IFERROR(VLOOKUP(C10,Suppliers!A:B,2,FALSE),""))</f>
        <v/>
      </c>
      <c r="I10" s="4" t="n"/>
      <c r="J10" s="5">
        <f>IF(OR(H10="",I10=""),"",ROUND(H10*I10,2))</f>
        <v/>
      </c>
      <c r="M10" s="4" t="n"/>
      <c r="N10" s="5">
        <f>IF(OR(L10="",M10=""),"",ROUND(L10*M10,2))</f>
        <v/>
      </c>
      <c r="Q10" s="4" t="n"/>
      <c r="R10" s="5">
        <f>IF(OR(P10="",Q10=""),"",ROUND(P10*Q10,2))</f>
        <v/>
      </c>
      <c r="S10" s="5">
        <f>IF(C10="","",SUM(J10,N10,R10))</f>
        <v/>
      </c>
      <c r="T10" s="5">
        <f>IF(C10="","",ROUND(S10*Settings!$B$2,2))</f>
        <v/>
      </c>
      <c r="U10" s="5">
        <f>IF(C10="","",S10+T10)</f>
        <v/>
      </c>
    </row>
    <row r="11">
      <c r="A11" s="3">
        <f>IF(C11="","","PO-"&amp;TEXT(ROW()-1,"0000"))</f>
        <v/>
      </c>
      <c r="D11" s="3">
        <f>IF(C11="","",IFERROR(VLOOKUP(C11,Suppliers!A:B,2,FALSE),""))</f>
        <v/>
      </c>
      <c r="I11" s="4" t="n"/>
      <c r="J11" s="5">
        <f>IF(OR(H11="",I11=""),"",ROUND(H11*I11,2))</f>
        <v/>
      </c>
      <c r="M11" s="4" t="n"/>
      <c r="N11" s="5">
        <f>IF(OR(L11="",M11=""),"",ROUND(L11*M11,2))</f>
        <v/>
      </c>
      <c r="Q11" s="4" t="n"/>
      <c r="R11" s="5">
        <f>IF(OR(P11="",Q11=""),"",ROUND(P11*Q11,2))</f>
        <v/>
      </c>
      <c r="S11" s="5">
        <f>IF(C11="","",SUM(J11,N11,R11))</f>
        <v/>
      </c>
      <c r="T11" s="5">
        <f>IF(C11="","",ROUND(S11*Settings!$B$2,2))</f>
        <v/>
      </c>
      <c r="U11" s="5">
        <f>IF(C11="","",S11+T11)</f>
        <v/>
      </c>
    </row>
    <row r="12">
      <c r="A12" s="3">
        <f>IF(C12="","","PO-"&amp;TEXT(ROW()-1,"0000"))</f>
        <v/>
      </c>
      <c r="D12" s="3">
        <f>IF(C12="","",IFERROR(VLOOKUP(C12,Suppliers!A:B,2,FALSE),""))</f>
        <v/>
      </c>
      <c r="I12" s="4" t="n"/>
      <c r="J12" s="5">
        <f>IF(OR(H12="",I12=""),"",ROUND(H12*I12,2))</f>
        <v/>
      </c>
      <c r="M12" s="4" t="n"/>
      <c r="N12" s="5">
        <f>IF(OR(L12="",M12=""),"",ROUND(L12*M12,2))</f>
        <v/>
      </c>
      <c r="Q12" s="4" t="n"/>
      <c r="R12" s="5">
        <f>IF(OR(P12="",Q12=""),"",ROUND(P12*Q12,2))</f>
        <v/>
      </c>
      <c r="S12" s="5">
        <f>IF(C12="","",SUM(J12,N12,R12))</f>
        <v/>
      </c>
      <c r="T12" s="5">
        <f>IF(C12="","",ROUND(S12*Settings!$B$2,2))</f>
        <v/>
      </c>
      <c r="U12" s="5">
        <f>IF(C12="","",S12+T12)</f>
        <v/>
      </c>
    </row>
    <row r="13">
      <c r="A13" s="3">
        <f>IF(C13="","","PO-"&amp;TEXT(ROW()-1,"0000"))</f>
        <v/>
      </c>
      <c r="D13" s="3">
        <f>IF(C13="","",IFERROR(VLOOKUP(C13,Suppliers!A:B,2,FALSE),""))</f>
        <v/>
      </c>
      <c r="I13" s="4" t="n"/>
      <c r="J13" s="5">
        <f>IF(OR(H13="",I13=""),"",ROUND(H13*I13,2))</f>
        <v/>
      </c>
      <c r="M13" s="4" t="n"/>
      <c r="N13" s="5">
        <f>IF(OR(L13="",M13=""),"",ROUND(L13*M13,2))</f>
        <v/>
      </c>
      <c r="Q13" s="4" t="n"/>
      <c r="R13" s="5">
        <f>IF(OR(P13="",Q13=""),"",ROUND(P13*Q13,2))</f>
        <v/>
      </c>
      <c r="S13" s="5">
        <f>IF(C13="","",SUM(J13,N13,R13))</f>
        <v/>
      </c>
      <c r="T13" s="5">
        <f>IF(C13="","",ROUND(S13*Settings!$B$2,2))</f>
        <v/>
      </c>
      <c r="U13" s="5">
        <f>IF(C13="","",S13+T13)</f>
        <v/>
      </c>
    </row>
    <row r="14">
      <c r="A14" s="3">
        <f>IF(C14="","","PO-"&amp;TEXT(ROW()-1,"0000"))</f>
        <v/>
      </c>
      <c r="D14" s="3">
        <f>IF(C14="","",IFERROR(VLOOKUP(C14,Suppliers!A:B,2,FALSE),""))</f>
        <v/>
      </c>
      <c r="I14" s="4" t="n"/>
      <c r="J14" s="5">
        <f>IF(OR(H14="",I14=""),"",ROUND(H14*I14,2))</f>
        <v/>
      </c>
      <c r="M14" s="4" t="n"/>
      <c r="N14" s="5">
        <f>IF(OR(L14="",M14=""),"",ROUND(L14*M14,2))</f>
        <v/>
      </c>
      <c r="Q14" s="4" t="n"/>
      <c r="R14" s="5">
        <f>IF(OR(P14="",Q14=""),"",ROUND(P14*Q14,2))</f>
        <v/>
      </c>
      <c r="S14" s="5">
        <f>IF(C14="","",SUM(J14,N14,R14))</f>
        <v/>
      </c>
      <c r="T14" s="5">
        <f>IF(C14="","",ROUND(S14*Settings!$B$2,2))</f>
        <v/>
      </c>
      <c r="U14" s="5">
        <f>IF(C14="","",S14+T14)</f>
        <v/>
      </c>
    </row>
    <row r="15">
      <c r="A15" s="3">
        <f>IF(C15="","","PO-"&amp;TEXT(ROW()-1,"0000"))</f>
        <v/>
      </c>
      <c r="D15" s="3">
        <f>IF(C15="","",IFERROR(VLOOKUP(C15,Suppliers!A:B,2,FALSE),""))</f>
        <v/>
      </c>
      <c r="I15" s="4" t="n"/>
      <c r="J15" s="5">
        <f>IF(OR(H15="",I15=""),"",ROUND(H15*I15,2))</f>
        <v/>
      </c>
      <c r="M15" s="4" t="n"/>
      <c r="N15" s="5">
        <f>IF(OR(L15="",M15=""),"",ROUND(L15*M15,2))</f>
        <v/>
      </c>
      <c r="Q15" s="4" t="n"/>
      <c r="R15" s="5">
        <f>IF(OR(P15="",Q15=""),"",ROUND(P15*Q15,2))</f>
        <v/>
      </c>
      <c r="S15" s="5">
        <f>IF(C15="","",SUM(J15,N15,R15))</f>
        <v/>
      </c>
      <c r="T15" s="5">
        <f>IF(C15="","",ROUND(S15*Settings!$B$2,2))</f>
        <v/>
      </c>
      <c r="U15" s="5">
        <f>IF(C15="","",S15+T15)</f>
        <v/>
      </c>
    </row>
    <row r="16">
      <c r="A16" s="3">
        <f>IF(C16="","","PO-"&amp;TEXT(ROW()-1,"0000"))</f>
        <v/>
      </c>
      <c r="D16" s="3">
        <f>IF(C16="","",IFERROR(VLOOKUP(C16,Suppliers!A:B,2,FALSE),""))</f>
        <v/>
      </c>
      <c r="I16" s="4" t="n"/>
      <c r="J16" s="5">
        <f>IF(OR(H16="",I16=""),"",ROUND(H16*I16,2))</f>
        <v/>
      </c>
      <c r="M16" s="4" t="n"/>
      <c r="N16" s="5">
        <f>IF(OR(L16="",M16=""),"",ROUND(L16*M16,2))</f>
        <v/>
      </c>
      <c r="Q16" s="4" t="n"/>
      <c r="R16" s="5">
        <f>IF(OR(P16="",Q16=""),"",ROUND(P16*Q16,2))</f>
        <v/>
      </c>
      <c r="S16" s="5">
        <f>IF(C16="","",SUM(J16,N16,R16))</f>
        <v/>
      </c>
      <c r="T16" s="5">
        <f>IF(C16="","",ROUND(S16*Settings!$B$2,2))</f>
        <v/>
      </c>
      <c r="U16" s="5">
        <f>IF(C16="","",S16+T16)</f>
        <v/>
      </c>
    </row>
    <row r="17">
      <c r="A17" s="3">
        <f>IF(C17="","","PO-"&amp;TEXT(ROW()-1,"0000"))</f>
        <v/>
      </c>
      <c r="D17" s="3">
        <f>IF(C17="","",IFERROR(VLOOKUP(C17,Suppliers!A:B,2,FALSE),""))</f>
        <v/>
      </c>
      <c r="I17" s="4" t="n"/>
      <c r="J17" s="5">
        <f>IF(OR(H17="",I17=""),"",ROUND(H17*I17,2))</f>
        <v/>
      </c>
      <c r="M17" s="4" t="n"/>
      <c r="N17" s="5">
        <f>IF(OR(L17="",M17=""),"",ROUND(L17*M17,2))</f>
        <v/>
      </c>
      <c r="Q17" s="4" t="n"/>
      <c r="R17" s="5">
        <f>IF(OR(P17="",Q17=""),"",ROUND(P17*Q17,2))</f>
        <v/>
      </c>
      <c r="S17" s="5">
        <f>IF(C17="","",SUM(J17,N17,R17))</f>
        <v/>
      </c>
      <c r="T17" s="5">
        <f>IF(C17="","",ROUND(S17*Settings!$B$2,2))</f>
        <v/>
      </c>
      <c r="U17" s="5">
        <f>IF(C17="","",S17+T17)</f>
        <v/>
      </c>
    </row>
    <row r="18">
      <c r="A18" s="3">
        <f>IF(C18="","","PO-"&amp;TEXT(ROW()-1,"0000"))</f>
        <v/>
      </c>
      <c r="D18" s="3">
        <f>IF(C18="","",IFERROR(VLOOKUP(C18,Suppliers!A:B,2,FALSE),""))</f>
        <v/>
      </c>
      <c r="I18" s="4" t="n"/>
      <c r="J18" s="5">
        <f>IF(OR(H18="",I18=""),"",ROUND(H18*I18,2))</f>
        <v/>
      </c>
      <c r="M18" s="4" t="n"/>
      <c r="N18" s="5">
        <f>IF(OR(L18="",M18=""),"",ROUND(L18*M18,2))</f>
        <v/>
      </c>
      <c r="Q18" s="4" t="n"/>
      <c r="R18" s="5">
        <f>IF(OR(P18="",Q18=""),"",ROUND(P18*Q18,2))</f>
        <v/>
      </c>
      <c r="S18" s="5">
        <f>IF(C18="","",SUM(J18,N18,R18))</f>
        <v/>
      </c>
      <c r="T18" s="5">
        <f>IF(C18="","",ROUND(S18*Settings!$B$2,2))</f>
        <v/>
      </c>
      <c r="U18" s="5">
        <f>IF(C18="","",S18+T18)</f>
        <v/>
      </c>
    </row>
    <row r="19">
      <c r="A19" s="3">
        <f>IF(C19="","","PO-"&amp;TEXT(ROW()-1,"0000"))</f>
        <v/>
      </c>
      <c r="D19" s="3">
        <f>IF(C19="","",IFERROR(VLOOKUP(C19,Suppliers!A:B,2,FALSE),""))</f>
        <v/>
      </c>
      <c r="I19" s="4" t="n"/>
      <c r="J19" s="5">
        <f>IF(OR(H19="",I19=""),"",ROUND(H19*I19,2))</f>
        <v/>
      </c>
      <c r="M19" s="4" t="n"/>
      <c r="N19" s="5">
        <f>IF(OR(L19="",M19=""),"",ROUND(L19*M19,2))</f>
        <v/>
      </c>
      <c r="Q19" s="4" t="n"/>
      <c r="R19" s="5">
        <f>IF(OR(P19="",Q19=""),"",ROUND(P19*Q19,2))</f>
        <v/>
      </c>
      <c r="S19" s="5">
        <f>IF(C19="","",SUM(J19,N19,R19))</f>
        <v/>
      </c>
      <c r="T19" s="5">
        <f>IF(C19="","",ROUND(S19*Settings!$B$2,2))</f>
        <v/>
      </c>
      <c r="U19" s="5">
        <f>IF(C19="","",S19+T19)</f>
        <v/>
      </c>
    </row>
    <row r="20">
      <c r="A20" s="3">
        <f>IF(C20="","","PO-"&amp;TEXT(ROW()-1,"0000"))</f>
        <v/>
      </c>
      <c r="D20" s="3">
        <f>IF(C20="","",IFERROR(VLOOKUP(C20,Suppliers!A:B,2,FALSE),""))</f>
        <v/>
      </c>
      <c r="I20" s="4" t="n"/>
      <c r="J20" s="5">
        <f>IF(OR(H20="",I20=""),"",ROUND(H20*I20,2))</f>
        <v/>
      </c>
      <c r="M20" s="4" t="n"/>
      <c r="N20" s="5">
        <f>IF(OR(L20="",M20=""),"",ROUND(L20*M20,2))</f>
        <v/>
      </c>
      <c r="Q20" s="4" t="n"/>
      <c r="R20" s="5">
        <f>IF(OR(P20="",Q20=""),"",ROUND(P20*Q20,2))</f>
        <v/>
      </c>
      <c r="S20" s="5">
        <f>IF(C20="","",SUM(J20,N20,R20))</f>
        <v/>
      </c>
      <c r="T20" s="5">
        <f>IF(C20="","",ROUND(S20*Settings!$B$2,2))</f>
        <v/>
      </c>
      <c r="U20" s="5">
        <f>IF(C20="","",S20+T20)</f>
        <v/>
      </c>
    </row>
    <row r="21">
      <c r="A21" s="3">
        <f>IF(C21="","","PO-"&amp;TEXT(ROW()-1,"0000"))</f>
        <v/>
      </c>
      <c r="D21" s="3">
        <f>IF(C21="","",IFERROR(VLOOKUP(C21,Suppliers!A:B,2,FALSE),""))</f>
        <v/>
      </c>
      <c r="I21" s="4" t="n"/>
      <c r="J21" s="5">
        <f>IF(OR(H21="",I21=""),"",ROUND(H21*I21,2))</f>
        <v/>
      </c>
      <c r="M21" s="4" t="n"/>
      <c r="N21" s="5">
        <f>IF(OR(L21="",M21=""),"",ROUND(L21*M21,2))</f>
        <v/>
      </c>
      <c r="Q21" s="4" t="n"/>
      <c r="R21" s="5">
        <f>IF(OR(P21="",Q21=""),"",ROUND(P21*Q21,2))</f>
        <v/>
      </c>
      <c r="S21" s="5">
        <f>IF(C21="","",SUM(J21,N21,R21))</f>
        <v/>
      </c>
      <c r="T21" s="5">
        <f>IF(C21="","",ROUND(S21*Settings!$B$2,2))</f>
        <v/>
      </c>
      <c r="U21" s="5">
        <f>IF(C21="","",S21+T21)</f>
        <v/>
      </c>
    </row>
    <row r="22">
      <c r="A22" s="3">
        <f>IF(C22="","","PO-"&amp;TEXT(ROW()-1,"0000"))</f>
        <v/>
      </c>
      <c r="D22" s="3">
        <f>IF(C22="","",IFERROR(VLOOKUP(C22,Suppliers!A:B,2,FALSE),""))</f>
        <v/>
      </c>
      <c r="I22" s="4" t="n"/>
      <c r="J22" s="5">
        <f>IF(OR(H22="",I22=""),"",ROUND(H22*I22,2))</f>
        <v/>
      </c>
      <c r="M22" s="4" t="n"/>
      <c r="N22" s="5">
        <f>IF(OR(L22="",M22=""),"",ROUND(L22*M22,2))</f>
        <v/>
      </c>
      <c r="Q22" s="4" t="n"/>
      <c r="R22" s="5">
        <f>IF(OR(P22="",Q22=""),"",ROUND(P22*Q22,2))</f>
        <v/>
      </c>
      <c r="S22" s="5">
        <f>IF(C22="","",SUM(J22,N22,R22))</f>
        <v/>
      </c>
      <c r="T22" s="5">
        <f>IF(C22="","",ROUND(S22*Settings!$B$2,2))</f>
        <v/>
      </c>
      <c r="U22" s="5">
        <f>IF(C22="","",S22+T22)</f>
        <v/>
      </c>
    </row>
    <row r="23">
      <c r="A23" s="3">
        <f>IF(C23="","","PO-"&amp;TEXT(ROW()-1,"0000"))</f>
        <v/>
      </c>
      <c r="D23" s="3">
        <f>IF(C23="","",IFERROR(VLOOKUP(C23,Suppliers!A:B,2,FALSE),""))</f>
        <v/>
      </c>
      <c r="I23" s="4" t="n"/>
      <c r="J23" s="5">
        <f>IF(OR(H23="",I23=""),"",ROUND(H23*I23,2))</f>
        <v/>
      </c>
      <c r="M23" s="4" t="n"/>
      <c r="N23" s="5">
        <f>IF(OR(L23="",M23=""),"",ROUND(L23*M23,2))</f>
        <v/>
      </c>
      <c r="Q23" s="4" t="n"/>
      <c r="R23" s="5">
        <f>IF(OR(P23="",Q23=""),"",ROUND(P23*Q23,2))</f>
        <v/>
      </c>
      <c r="S23" s="5">
        <f>IF(C23="","",SUM(J23,N23,R23))</f>
        <v/>
      </c>
      <c r="T23" s="5">
        <f>IF(C23="","",ROUND(S23*Settings!$B$2,2))</f>
        <v/>
      </c>
      <c r="U23" s="5">
        <f>IF(C23="","",S23+T23)</f>
        <v/>
      </c>
    </row>
    <row r="24">
      <c r="A24" s="3">
        <f>IF(C24="","","PO-"&amp;TEXT(ROW()-1,"0000"))</f>
        <v/>
      </c>
      <c r="D24" s="3">
        <f>IF(C24="","",IFERROR(VLOOKUP(C24,Suppliers!A:B,2,FALSE),""))</f>
        <v/>
      </c>
      <c r="I24" s="4" t="n"/>
      <c r="J24" s="5">
        <f>IF(OR(H24="",I24=""),"",ROUND(H24*I24,2))</f>
        <v/>
      </c>
      <c r="M24" s="4" t="n"/>
      <c r="N24" s="5">
        <f>IF(OR(L24="",M24=""),"",ROUND(L24*M24,2))</f>
        <v/>
      </c>
      <c r="Q24" s="4" t="n"/>
      <c r="R24" s="5">
        <f>IF(OR(P24="",Q24=""),"",ROUND(P24*Q24,2))</f>
        <v/>
      </c>
      <c r="S24" s="5">
        <f>IF(C24="","",SUM(J24,N24,R24))</f>
        <v/>
      </c>
      <c r="T24" s="5">
        <f>IF(C24="","",ROUND(S24*Settings!$B$2,2))</f>
        <v/>
      </c>
      <c r="U24" s="5">
        <f>IF(C24="","",S24+T24)</f>
        <v/>
      </c>
    </row>
    <row r="25">
      <c r="A25" s="3">
        <f>IF(C25="","","PO-"&amp;TEXT(ROW()-1,"0000"))</f>
        <v/>
      </c>
      <c r="D25" s="3">
        <f>IF(C25="","",IFERROR(VLOOKUP(C25,Suppliers!A:B,2,FALSE),""))</f>
        <v/>
      </c>
      <c r="I25" s="4" t="n"/>
      <c r="J25" s="5">
        <f>IF(OR(H25="",I25=""),"",ROUND(H25*I25,2))</f>
        <v/>
      </c>
      <c r="M25" s="4" t="n"/>
      <c r="N25" s="5">
        <f>IF(OR(L25="",M25=""),"",ROUND(L25*M25,2))</f>
        <v/>
      </c>
      <c r="Q25" s="4" t="n"/>
      <c r="R25" s="5">
        <f>IF(OR(P25="",Q25=""),"",ROUND(P25*Q25,2))</f>
        <v/>
      </c>
      <c r="S25" s="5">
        <f>IF(C25="","",SUM(J25,N25,R25))</f>
        <v/>
      </c>
      <c r="T25" s="5">
        <f>IF(C25="","",ROUND(S25*Settings!$B$2,2))</f>
        <v/>
      </c>
      <c r="U25" s="5">
        <f>IF(C25="","",S25+T25)</f>
        <v/>
      </c>
    </row>
    <row r="26">
      <c r="A26" s="3">
        <f>IF(C26="","","PO-"&amp;TEXT(ROW()-1,"0000"))</f>
        <v/>
      </c>
      <c r="D26" s="3">
        <f>IF(C26="","",IFERROR(VLOOKUP(C26,Suppliers!A:B,2,FALSE),""))</f>
        <v/>
      </c>
      <c r="I26" s="4" t="n"/>
      <c r="J26" s="5">
        <f>IF(OR(H26="",I26=""),"",ROUND(H26*I26,2))</f>
        <v/>
      </c>
      <c r="M26" s="4" t="n"/>
      <c r="N26" s="5">
        <f>IF(OR(L26="",M26=""),"",ROUND(L26*M26,2))</f>
        <v/>
      </c>
      <c r="Q26" s="4" t="n"/>
      <c r="R26" s="5">
        <f>IF(OR(P26="",Q26=""),"",ROUND(P26*Q26,2))</f>
        <v/>
      </c>
      <c r="S26" s="5">
        <f>IF(C26="","",SUM(J26,N26,R26))</f>
        <v/>
      </c>
      <c r="T26" s="5">
        <f>IF(C26="","",ROUND(S26*Settings!$B$2,2))</f>
        <v/>
      </c>
      <c r="U26" s="5">
        <f>IF(C26="","",S26+T26)</f>
        <v/>
      </c>
    </row>
    <row r="27">
      <c r="A27" s="3">
        <f>IF(C27="","","PO-"&amp;TEXT(ROW()-1,"0000"))</f>
        <v/>
      </c>
      <c r="D27" s="3">
        <f>IF(C27="","",IFERROR(VLOOKUP(C27,Suppliers!A:B,2,FALSE),""))</f>
        <v/>
      </c>
      <c r="I27" s="4" t="n"/>
      <c r="J27" s="5">
        <f>IF(OR(H27="",I27=""),"",ROUND(H27*I27,2))</f>
        <v/>
      </c>
      <c r="M27" s="4" t="n"/>
      <c r="N27" s="5">
        <f>IF(OR(L27="",M27=""),"",ROUND(L27*M27,2))</f>
        <v/>
      </c>
      <c r="Q27" s="4" t="n"/>
      <c r="R27" s="5">
        <f>IF(OR(P27="",Q27=""),"",ROUND(P27*Q27,2))</f>
        <v/>
      </c>
      <c r="S27" s="5">
        <f>IF(C27="","",SUM(J27,N27,R27))</f>
        <v/>
      </c>
      <c r="T27" s="5">
        <f>IF(C27="","",ROUND(S27*Settings!$B$2,2))</f>
        <v/>
      </c>
      <c r="U27" s="5">
        <f>IF(C27="","",S27+T27)</f>
        <v/>
      </c>
    </row>
    <row r="28">
      <c r="A28" s="3">
        <f>IF(C28="","","PO-"&amp;TEXT(ROW()-1,"0000"))</f>
        <v/>
      </c>
      <c r="D28" s="3">
        <f>IF(C28="","",IFERROR(VLOOKUP(C28,Suppliers!A:B,2,FALSE),""))</f>
        <v/>
      </c>
      <c r="I28" s="4" t="n"/>
      <c r="J28" s="5">
        <f>IF(OR(H28="",I28=""),"",ROUND(H28*I28,2))</f>
        <v/>
      </c>
      <c r="M28" s="4" t="n"/>
      <c r="N28" s="5">
        <f>IF(OR(L28="",M28=""),"",ROUND(L28*M28,2))</f>
        <v/>
      </c>
      <c r="Q28" s="4" t="n"/>
      <c r="R28" s="5">
        <f>IF(OR(P28="",Q28=""),"",ROUND(P28*Q28,2))</f>
        <v/>
      </c>
      <c r="S28" s="5">
        <f>IF(C28="","",SUM(J28,N28,R28))</f>
        <v/>
      </c>
      <c r="T28" s="5">
        <f>IF(C28="","",ROUND(S28*Settings!$B$2,2))</f>
        <v/>
      </c>
      <c r="U28" s="5">
        <f>IF(C28="","",S28+T28)</f>
        <v/>
      </c>
    </row>
    <row r="29">
      <c r="A29" s="3">
        <f>IF(C29="","","PO-"&amp;TEXT(ROW()-1,"0000"))</f>
        <v/>
      </c>
      <c r="D29" s="3">
        <f>IF(C29="","",IFERROR(VLOOKUP(C29,Suppliers!A:B,2,FALSE),""))</f>
        <v/>
      </c>
      <c r="I29" s="4" t="n"/>
      <c r="J29" s="5">
        <f>IF(OR(H29="",I29=""),"",ROUND(H29*I29,2))</f>
        <v/>
      </c>
      <c r="M29" s="4" t="n"/>
      <c r="N29" s="5">
        <f>IF(OR(L29="",M29=""),"",ROUND(L29*M29,2))</f>
        <v/>
      </c>
      <c r="Q29" s="4" t="n"/>
      <c r="R29" s="5">
        <f>IF(OR(P29="",Q29=""),"",ROUND(P29*Q29,2))</f>
        <v/>
      </c>
      <c r="S29" s="5">
        <f>IF(C29="","",SUM(J29,N29,R29))</f>
        <v/>
      </c>
      <c r="T29" s="5">
        <f>IF(C29="","",ROUND(S29*Settings!$B$2,2))</f>
        <v/>
      </c>
      <c r="U29" s="5">
        <f>IF(C29="","",S29+T29)</f>
        <v/>
      </c>
    </row>
    <row r="30">
      <c r="A30" s="3">
        <f>IF(C30="","","PO-"&amp;TEXT(ROW()-1,"0000"))</f>
        <v/>
      </c>
      <c r="D30" s="3">
        <f>IF(C30="","",IFERROR(VLOOKUP(C30,Suppliers!A:B,2,FALSE),""))</f>
        <v/>
      </c>
      <c r="I30" s="4" t="n"/>
      <c r="J30" s="5">
        <f>IF(OR(H30="",I30=""),"",ROUND(H30*I30,2))</f>
        <v/>
      </c>
      <c r="M30" s="4" t="n"/>
      <c r="N30" s="5">
        <f>IF(OR(L30="",M30=""),"",ROUND(L30*M30,2))</f>
        <v/>
      </c>
      <c r="Q30" s="4" t="n"/>
      <c r="R30" s="5">
        <f>IF(OR(P30="",Q30=""),"",ROUND(P30*Q30,2))</f>
        <v/>
      </c>
      <c r="S30" s="5">
        <f>IF(C30="","",SUM(J30,N30,R30))</f>
        <v/>
      </c>
      <c r="T30" s="5">
        <f>IF(C30="","",ROUND(S30*Settings!$B$2,2))</f>
        <v/>
      </c>
      <c r="U30" s="5">
        <f>IF(C30="","",S30+T30)</f>
        <v/>
      </c>
    </row>
    <row r="31">
      <c r="A31" s="3">
        <f>IF(C31="","","PO-"&amp;TEXT(ROW()-1,"0000"))</f>
        <v/>
      </c>
      <c r="D31" s="3">
        <f>IF(C31="","",IFERROR(VLOOKUP(C31,Suppliers!A:B,2,FALSE),""))</f>
        <v/>
      </c>
      <c r="I31" s="4" t="n"/>
      <c r="J31" s="5">
        <f>IF(OR(H31="",I31=""),"",ROUND(H31*I31,2))</f>
        <v/>
      </c>
      <c r="M31" s="4" t="n"/>
      <c r="N31" s="5">
        <f>IF(OR(L31="",M31=""),"",ROUND(L31*M31,2))</f>
        <v/>
      </c>
      <c r="Q31" s="4" t="n"/>
      <c r="R31" s="5">
        <f>IF(OR(P31="",Q31=""),"",ROUND(P31*Q31,2))</f>
        <v/>
      </c>
      <c r="S31" s="5">
        <f>IF(C31="","",SUM(J31,N31,R31))</f>
        <v/>
      </c>
      <c r="T31" s="5">
        <f>IF(C31="","",ROUND(S31*Settings!$B$2,2))</f>
        <v/>
      </c>
      <c r="U31" s="5">
        <f>IF(C31="","",S31+T31)</f>
        <v/>
      </c>
    </row>
    <row r="32">
      <c r="A32" s="3">
        <f>IF(C32="","","PO-"&amp;TEXT(ROW()-1,"0000"))</f>
        <v/>
      </c>
      <c r="D32" s="3">
        <f>IF(C32="","",IFERROR(VLOOKUP(C32,Suppliers!A:B,2,FALSE),""))</f>
        <v/>
      </c>
      <c r="I32" s="4" t="n"/>
      <c r="J32" s="5">
        <f>IF(OR(H32="",I32=""),"",ROUND(H32*I32,2))</f>
        <v/>
      </c>
      <c r="M32" s="4" t="n"/>
      <c r="N32" s="5">
        <f>IF(OR(L32="",M32=""),"",ROUND(L32*M32,2))</f>
        <v/>
      </c>
      <c r="Q32" s="4" t="n"/>
      <c r="R32" s="5">
        <f>IF(OR(P32="",Q32=""),"",ROUND(P32*Q32,2))</f>
        <v/>
      </c>
      <c r="S32" s="5">
        <f>IF(C32="","",SUM(J32,N32,R32))</f>
        <v/>
      </c>
      <c r="T32" s="5">
        <f>IF(C32="","",ROUND(S32*Settings!$B$2,2))</f>
        <v/>
      </c>
      <c r="U32" s="5">
        <f>IF(C32="","",S32+T32)</f>
        <v/>
      </c>
    </row>
    <row r="33">
      <c r="A33" s="3">
        <f>IF(C33="","","PO-"&amp;TEXT(ROW()-1,"0000"))</f>
        <v/>
      </c>
      <c r="D33" s="3">
        <f>IF(C33="","",IFERROR(VLOOKUP(C33,Suppliers!A:B,2,FALSE),""))</f>
        <v/>
      </c>
      <c r="I33" s="4" t="n"/>
      <c r="J33" s="5">
        <f>IF(OR(H33="",I33=""),"",ROUND(H33*I33,2))</f>
        <v/>
      </c>
      <c r="M33" s="4" t="n"/>
      <c r="N33" s="5">
        <f>IF(OR(L33="",M33=""),"",ROUND(L33*M33,2))</f>
        <v/>
      </c>
      <c r="Q33" s="4" t="n"/>
      <c r="R33" s="5">
        <f>IF(OR(P33="",Q33=""),"",ROUND(P33*Q33,2))</f>
        <v/>
      </c>
      <c r="S33" s="5">
        <f>IF(C33="","",SUM(J33,N33,R33))</f>
        <v/>
      </c>
      <c r="T33" s="5">
        <f>IF(C33="","",ROUND(S33*Settings!$B$2,2))</f>
        <v/>
      </c>
      <c r="U33" s="5">
        <f>IF(C33="","",S33+T33)</f>
        <v/>
      </c>
    </row>
    <row r="34">
      <c r="A34" s="3">
        <f>IF(C34="","","PO-"&amp;TEXT(ROW()-1,"0000"))</f>
        <v/>
      </c>
      <c r="D34" s="3">
        <f>IF(C34="","",IFERROR(VLOOKUP(C34,Suppliers!A:B,2,FALSE),""))</f>
        <v/>
      </c>
      <c r="I34" s="4" t="n"/>
      <c r="J34" s="5">
        <f>IF(OR(H34="",I34=""),"",ROUND(H34*I34,2))</f>
        <v/>
      </c>
      <c r="M34" s="4" t="n"/>
      <c r="N34" s="5">
        <f>IF(OR(L34="",M34=""),"",ROUND(L34*M34,2))</f>
        <v/>
      </c>
      <c r="Q34" s="4" t="n"/>
      <c r="R34" s="5">
        <f>IF(OR(P34="",Q34=""),"",ROUND(P34*Q34,2))</f>
        <v/>
      </c>
      <c r="S34" s="5">
        <f>IF(C34="","",SUM(J34,N34,R34))</f>
        <v/>
      </c>
      <c r="T34" s="5">
        <f>IF(C34="","",ROUND(S34*Settings!$B$2,2))</f>
        <v/>
      </c>
      <c r="U34" s="5">
        <f>IF(C34="","",S34+T34)</f>
        <v/>
      </c>
    </row>
    <row r="35">
      <c r="A35" s="3">
        <f>IF(C35="","","PO-"&amp;TEXT(ROW()-1,"0000"))</f>
        <v/>
      </c>
      <c r="D35" s="3">
        <f>IF(C35="","",IFERROR(VLOOKUP(C35,Suppliers!A:B,2,FALSE),""))</f>
        <v/>
      </c>
      <c r="I35" s="4" t="n"/>
      <c r="J35" s="5">
        <f>IF(OR(H35="",I35=""),"",ROUND(H35*I35,2))</f>
        <v/>
      </c>
      <c r="M35" s="4" t="n"/>
      <c r="N35" s="5">
        <f>IF(OR(L35="",M35=""),"",ROUND(L35*M35,2))</f>
        <v/>
      </c>
      <c r="Q35" s="4" t="n"/>
      <c r="R35" s="5">
        <f>IF(OR(P35="",Q35=""),"",ROUND(P35*Q35,2))</f>
        <v/>
      </c>
      <c r="S35" s="5">
        <f>IF(C35="","",SUM(J35,N35,R35))</f>
        <v/>
      </c>
      <c r="T35" s="5">
        <f>IF(C35="","",ROUND(S35*Settings!$B$2,2))</f>
        <v/>
      </c>
      <c r="U35" s="5">
        <f>IF(C35="","",S35+T35)</f>
        <v/>
      </c>
    </row>
    <row r="36">
      <c r="A36" s="3">
        <f>IF(C36="","","PO-"&amp;TEXT(ROW()-1,"0000"))</f>
        <v/>
      </c>
      <c r="D36" s="3">
        <f>IF(C36="","",IFERROR(VLOOKUP(C36,Suppliers!A:B,2,FALSE),""))</f>
        <v/>
      </c>
      <c r="I36" s="4" t="n"/>
      <c r="J36" s="5">
        <f>IF(OR(H36="",I36=""),"",ROUND(H36*I36,2))</f>
        <v/>
      </c>
      <c r="M36" s="4" t="n"/>
      <c r="N36" s="5">
        <f>IF(OR(L36="",M36=""),"",ROUND(L36*M36,2))</f>
        <v/>
      </c>
      <c r="Q36" s="4" t="n"/>
      <c r="R36" s="5">
        <f>IF(OR(P36="",Q36=""),"",ROUND(P36*Q36,2))</f>
        <v/>
      </c>
      <c r="S36" s="5">
        <f>IF(C36="","",SUM(J36,N36,R36))</f>
        <v/>
      </c>
      <c r="T36" s="5">
        <f>IF(C36="","",ROUND(S36*Settings!$B$2,2))</f>
        <v/>
      </c>
      <c r="U36" s="5">
        <f>IF(C36="","",S36+T36)</f>
        <v/>
      </c>
    </row>
    <row r="37">
      <c r="A37" s="3">
        <f>IF(C37="","","PO-"&amp;TEXT(ROW()-1,"0000"))</f>
        <v/>
      </c>
      <c r="D37" s="3">
        <f>IF(C37="","",IFERROR(VLOOKUP(C37,Suppliers!A:B,2,FALSE),""))</f>
        <v/>
      </c>
      <c r="I37" s="4" t="n"/>
      <c r="J37" s="5">
        <f>IF(OR(H37="",I37=""),"",ROUND(H37*I37,2))</f>
        <v/>
      </c>
      <c r="M37" s="4" t="n"/>
      <c r="N37" s="5">
        <f>IF(OR(L37="",M37=""),"",ROUND(L37*M37,2))</f>
        <v/>
      </c>
      <c r="Q37" s="4" t="n"/>
      <c r="R37" s="5">
        <f>IF(OR(P37="",Q37=""),"",ROUND(P37*Q37,2))</f>
        <v/>
      </c>
      <c r="S37" s="5">
        <f>IF(C37="","",SUM(J37,N37,R37))</f>
        <v/>
      </c>
      <c r="T37" s="5">
        <f>IF(C37="","",ROUND(S37*Settings!$B$2,2))</f>
        <v/>
      </c>
      <c r="U37" s="5">
        <f>IF(C37="","",S37+T37)</f>
        <v/>
      </c>
    </row>
    <row r="38">
      <c r="A38" s="3">
        <f>IF(C38="","","PO-"&amp;TEXT(ROW()-1,"0000"))</f>
        <v/>
      </c>
      <c r="D38" s="3">
        <f>IF(C38="","",IFERROR(VLOOKUP(C38,Suppliers!A:B,2,FALSE),""))</f>
        <v/>
      </c>
      <c r="I38" s="4" t="n"/>
      <c r="J38" s="5">
        <f>IF(OR(H38="",I38=""),"",ROUND(H38*I38,2))</f>
        <v/>
      </c>
      <c r="M38" s="4" t="n"/>
      <c r="N38" s="5">
        <f>IF(OR(L38="",M38=""),"",ROUND(L38*M38,2))</f>
        <v/>
      </c>
      <c r="Q38" s="4" t="n"/>
      <c r="R38" s="5">
        <f>IF(OR(P38="",Q38=""),"",ROUND(P38*Q38,2))</f>
        <v/>
      </c>
      <c r="S38" s="5">
        <f>IF(C38="","",SUM(J38,N38,R38))</f>
        <v/>
      </c>
      <c r="T38" s="5">
        <f>IF(C38="","",ROUND(S38*Settings!$B$2,2))</f>
        <v/>
      </c>
      <c r="U38" s="5">
        <f>IF(C38="","",S38+T38)</f>
        <v/>
      </c>
    </row>
    <row r="39">
      <c r="A39" s="3">
        <f>IF(C39="","","PO-"&amp;TEXT(ROW()-1,"0000"))</f>
        <v/>
      </c>
      <c r="D39" s="3">
        <f>IF(C39="","",IFERROR(VLOOKUP(C39,Suppliers!A:B,2,FALSE),""))</f>
        <v/>
      </c>
      <c r="I39" s="4" t="n"/>
      <c r="J39" s="5">
        <f>IF(OR(H39="",I39=""),"",ROUND(H39*I39,2))</f>
        <v/>
      </c>
      <c r="M39" s="4" t="n"/>
      <c r="N39" s="5">
        <f>IF(OR(L39="",M39=""),"",ROUND(L39*M39,2))</f>
        <v/>
      </c>
      <c r="Q39" s="4" t="n"/>
      <c r="R39" s="5">
        <f>IF(OR(P39="",Q39=""),"",ROUND(P39*Q39,2))</f>
        <v/>
      </c>
      <c r="S39" s="5">
        <f>IF(C39="","",SUM(J39,N39,R39))</f>
        <v/>
      </c>
      <c r="T39" s="5">
        <f>IF(C39="","",ROUND(S39*Settings!$B$2,2))</f>
        <v/>
      </c>
      <c r="U39" s="5">
        <f>IF(C39="","",S39+T39)</f>
        <v/>
      </c>
    </row>
    <row r="40">
      <c r="A40" s="3">
        <f>IF(C40="","","PO-"&amp;TEXT(ROW()-1,"0000"))</f>
        <v/>
      </c>
      <c r="D40" s="3">
        <f>IF(C40="","",IFERROR(VLOOKUP(C40,Suppliers!A:B,2,FALSE),""))</f>
        <v/>
      </c>
      <c r="I40" s="4" t="n"/>
      <c r="J40" s="5">
        <f>IF(OR(H40="",I40=""),"",ROUND(H40*I40,2))</f>
        <v/>
      </c>
      <c r="M40" s="4" t="n"/>
      <c r="N40" s="5">
        <f>IF(OR(L40="",M40=""),"",ROUND(L40*M40,2))</f>
        <v/>
      </c>
      <c r="Q40" s="4" t="n"/>
      <c r="R40" s="5">
        <f>IF(OR(P40="",Q40=""),"",ROUND(P40*Q40,2))</f>
        <v/>
      </c>
      <c r="S40" s="5">
        <f>IF(C40="","",SUM(J40,N40,R40))</f>
        <v/>
      </c>
      <c r="T40" s="5">
        <f>IF(C40="","",ROUND(S40*Settings!$B$2,2))</f>
        <v/>
      </c>
      <c r="U40" s="5">
        <f>IF(C40="","",S40+T40)</f>
        <v/>
      </c>
    </row>
    <row r="41">
      <c r="A41" s="3">
        <f>IF(C41="","","PO-"&amp;TEXT(ROW()-1,"0000"))</f>
        <v/>
      </c>
      <c r="D41" s="3">
        <f>IF(C41="","",IFERROR(VLOOKUP(C41,Suppliers!A:B,2,FALSE),""))</f>
        <v/>
      </c>
      <c r="I41" s="4" t="n"/>
      <c r="J41" s="5">
        <f>IF(OR(H41="",I41=""),"",ROUND(H41*I41,2))</f>
        <v/>
      </c>
      <c r="M41" s="4" t="n"/>
      <c r="N41" s="5">
        <f>IF(OR(L41="",M41=""),"",ROUND(L41*M41,2))</f>
        <v/>
      </c>
      <c r="Q41" s="4" t="n"/>
      <c r="R41" s="5">
        <f>IF(OR(P41="",Q41=""),"",ROUND(P41*Q41,2))</f>
        <v/>
      </c>
      <c r="S41" s="5">
        <f>IF(C41="","",SUM(J41,N41,R41))</f>
        <v/>
      </c>
      <c r="T41" s="5">
        <f>IF(C41="","",ROUND(S41*Settings!$B$2,2))</f>
        <v/>
      </c>
      <c r="U41" s="5">
        <f>IF(C41="","",S41+T41)</f>
        <v/>
      </c>
    </row>
    <row r="42">
      <c r="A42" s="3">
        <f>IF(C42="","","PO-"&amp;TEXT(ROW()-1,"0000"))</f>
        <v/>
      </c>
      <c r="D42" s="3">
        <f>IF(C42="","",IFERROR(VLOOKUP(C42,Suppliers!A:B,2,FALSE),""))</f>
        <v/>
      </c>
      <c r="I42" s="4" t="n"/>
      <c r="J42" s="5">
        <f>IF(OR(H42="",I42=""),"",ROUND(H42*I42,2))</f>
        <v/>
      </c>
      <c r="M42" s="4" t="n"/>
      <c r="N42" s="5">
        <f>IF(OR(L42="",M42=""),"",ROUND(L42*M42,2))</f>
        <v/>
      </c>
      <c r="Q42" s="4" t="n"/>
      <c r="R42" s="5">
        <f>IF(OR(P42="",Q42=""),"",ROUND(P42*Q42,2))</f>
        <v/>
      </c>
      <c r="S42" s="5">
        <f>IF(C42="","",SUM(J42,N42,R42))</f>
        <v/>
      </c>
      <c r="T42" s="5">
        <f>IF(C42="","",ROUND(S42*Settings!$B$2,2))</f>
        <v/>
      </c>
      <c r="U42" s="5">
        <f>IF(C42="","",S42+T42)</f>
        <v/>
      </c>
    </row>
    <row r="43">
      <c r="A43" s="3">
        <f>IF(C43="","","PO-"&amp;TEXT(ROW()-1,"0000"))</f>
        <v/>
      </c>
      <c r="D43" s="3">
        <f>IF(C43="","",IFERROR(VLOOKUP(C43,Suppliers!A:B,2,FALSE),""))</f>
        <v/>
      </c>
      <c r="I43" s="4" t="n"/>
      <c r="J43" s="5">
        <f>IF(OR(H43="",I43=""),"",ROUND(H43*I43,2))</f>
        <v/>
      </c>
      <c r="M43" s="4" t="n"/>
      <c r="N43" s="5">
        <f>IF(OR(L43="",M43=""),"",ROUND(L43*M43,2))</f>
        <v/>
      </c>
      <c r="Q43" s="4" t="n"/>
      <c r="R43" s="5">
        <f>IF(OR(P43="",Q43=""),"",ROUND(P43*Q43,2))</f>
        <v/>
      </c>
      <c r="S43" s="5">
        <f>IF(C43="","",SUM(J43,N43,R43))</f>
        <v/>
      </c>
      <c r="T43" s="5">
        <f>IF(C43="","",ROUND(S43*Settings!$B$2,2))</f>
        <v/>
      </c>
      <c r="U43" s="5">
        <f>IF(C43="","",S43+T43)</f>
        <v/>
      </c>
    </row>
    <row r="44">
      <c r="A44" s="3">
        <f>IF(C44="","","PO-"&amp;TEXT(ROW()-1,"0000"))</f>
        <v/>
      </c>
      <c r="D44" s="3">
        <f>IF(C44="","",IFERROR(VLOOKUP(C44,Suppliers!A:B,2,FALSE),""))</f>
        <v/>
      </c>
      <c r="I44" s="4" t="n"/>
      <c r="J44" s="5">
        <f>IF(OR(H44="",I44=""),"",ROUND(H44*I44,2))</f>
        <v/>
      </c>
      <c r="M44" s="4" t="n"/>
      <c r="N44" s="5">
        <f>IF(OR(L44="",M44=""),"",ROUND(L44*M44,2))</f>
        <v/>
      </c>
      <c r="Q44" s="4" t="n"/>
      <c r="R44" s="5">
        <f>IF(OR(P44="",Q44=""),"",ROUND(P44*Q44,2))</f>
        <v/>
      </c>
      <c r="S44" s="5">
        <f>IF(C44="","",SUM(J44,N44,R44))</f>
        <v/>
      </c>
      <c r="T44" s="5">
        <f>IF(C44="","",ROUND(S44*Settings!$B$2,2))</f>
        <v/>
      </c>
      <c r="U44" s="5">
        <f>IF(C44="","",S44+T44)</f>
        <v/>
      </c>
    </row>
    <row r="45">
      <c r="A45" s="3">
        <f>IF(C45="","","PO-"&amp;TEXT(ROW()-1,"0000"))</f>
        <v/>
      </c>
      <c r="D45" s="3">
        <f>IF(C45="","",IFERROR(VLOOKUP(C45,Suppliers!A:B,2,FALSE),""))</f>
        <v/>
      </c>
      <c r="I45" s="4" t="n"/>
      <c r="J45" s="5">
        <f>IF(OR(H45="",I45=""),"",ROUND(H45*I45,2))</f>
        <v/>
      </c>
      <c r="M45" s="4" t="n"/>
      <c r="N45" s="5">
        <f>IF(OR(L45="",M45=""),"",ROUND(L45*M45,2))</f>
        <v/>
      </c>
      <c r="Q45" s="4" t="n"/>
      <c r="R45" s="5">
        <f>IF(OR(P45="",Q45=""),"",ROUND(P45*Q45,2))</f>
        <v/>
      </c>
      <c r="S45" s="5">
        <f>IF(C45="","",SUM(J45,N45,R45))</f>
        <v/>
      </c>
      <c r="T45" s="5">
        <f>IF(C45="","",ROUND(S45*Settings!$B$2,2))</f>
        <v/>
      </c>
      <c r="U45" s="5">
        <f>IF(C45="","",S45+T45)</f>
        <v/>
      </c>
    </row>
    <row r="46">
      <c r="A46" s="3">
        <f>IF(C46="","","PO-"&amp;TEXT(ROW()-1,"0000"))</f>
        <v/>
      </c>
      <c r="D46" s="3">
        <f>IF(C46="","",IFERROR(VLOOKUP(C46,Suppliers!A:B,2,FALSE),""))</f>
        <v/>
      </c>
      <c r="I46" s="4" t="n"/>
      <c r="J46" s="5">
        <f>IF(OR(H46="",I46=""),"",ROUND(H46*I46,2))</f>
        <v/>
      </c>
      <c r="M46" s="4" t="n"/>
      <c r="N46" s="5">
        <f>IF(OR(L46="",M46=""),"",ROUND(L46*M46,2))</f>
        <v/>
      </c>
      <c r="Q46" s="4" t="n"/>
      <c r="R46" s="5">
        <f>IF(OR(P46="",Q46=""),"",ROUND(P46*Q46,2))</f>
        <v/>
      </c>
      <c r="S46" s="5">
        <f>IF(C46="","",SUM(J46,N46,R46))</f>
        <v/>
      </c>
      <c r="T46" s="5">
        <f>IF(C46="","",ROUND(S46*Settings!$B$2,2))</f>
        <v/>
      </c>
      <c r="U46" s="5">
        <f>IF(C46="","",S46+T46)</f>
        <v/>
      </c>
    </row>
    <row r="47">
      <c r="A47" s="3">
        <f>IF(C47="","","PO-"&amp;TEXT(ROW()-1,"0000"))</f>
        <v/>
      </c>
      <c r="D47" s="3">
        <f>IF(C47="","",IFERROR(VLOOKUP(C47,Suppliers!A:B,2,FALSE),""))</f>
        <v/>
      </c>
      <c r="I47" s="4" t="n"/>
      <c r="J47" s="5">
        <f>IF(OR(H47="",I47=""),"",ROUND(H47*I47,2))</f>
        <v/>
      </c>
      <c r="M47" s="4" t="n"/>
      <c r="N47" s="5">
        <f>IF(OR(L47="",M47=""),"",ROUND(L47*M47,2))</f>
        <v/>
      </c>
      <c r="Q47" s="4" t="n"/>
      <c r="R47" s="5">
        <f>IF(OR(P47="",Q47=""),"",ROUND(P47*Q47,2))</f>
        <v/>
      </c>
      <c r="S47" s="5">
        <f>IF(C47="","",SUM(J47,N47,R47))</f>
        <v/>
      </c>
      <c r="T47" s="5">
        <f>IF(C47="","",ROUND(S47*Settings!$B$2,2))</f>
        <v/>
      </c>
      <c r="U47" s="5">
        <f>IF(C47="","",S47+T47)</f>
        <v/>
      </c>
    </row>
    <row r="48">
      <c r="A48" s="3">
        <f>IF(C48="","","PO-"&amp;TEXT(ROW()-1,"0000"))</f>
        <v/>
      </c>
      <c r="D48" s="3">
        <f>IF(C48="","",IFERROR(VLOOKUP(C48,Suppliers!A:B,2,FALSE),""))</f>
        <v/>
      </c>
      <c r="I48" s="4" t="n"/>
      <c r="J48" s="5">
        <f>IF(OR(H48="",I48=""),"",ROUND(H48*I48,2))</f>
        <v/>
      </c>
      <c r="M48" s="4" t="n"/>
      <c r="N48" s="5">
        <f>IF(OR(L48="",M48=""),"",ROUND(L48*M48,2))</f>
        <v/>
      </c>
      <c r="Q48" s="4" t="n"/>
      <c r="R48" s="5">
        <f>IF(OR(P48="",Q48=""),"",ROUND(P48*Q48,2))</f>
        <v/>
      </c>
      <c r="S48" s="5">
        <f>IF(C48="","",SUM(J48,N48,R48))</f>
        <v/>
      </c>
      <c r="T48" s="5">
        <f>IF(C48="","",ROUND(S48*Settings!$B$2,2))</f>
        <v/>
      </c>
      <c r="U48" s="5">
        <f>IF(C48="","",S48+T48)</f>
        <v/>
      </c>
    </row>
    <row r="49">
      <c r="A49" s="3">
        <f>IF(C49="","","PO-"&amp;TEXT(ROW()-1,"0000"))</f>
        <v/>
      </c>
      <c r="D49" s="3">
        <f>IF(C49="","",IFERROR(VLOOKUP(C49,Suppliers!A:B,2,FALSE),""))</f>
        <v/>
      </c>
      <c r="I49" s="4" t="n"/>
      <c r="J49" s="5">
        <f>IF(OR(H49="",I49=""),"",ROUND(H49*I49,2))</f>
        <v/>
      </c>
      <c r="M49" s="4" t="n"/>
      <c r="N49" s="5">
        <f>IF(OR(L49="",M49=""),"",ROUND(L49*M49,2))</f>
        <v/>
      </c>
      <c r="Q49" s="4" t="n"/>
      <c r="R49" s="5">
        <f>IF(OR(P49="",Q49=""),"",ROUND(P49*Q49,2))</f>
        <v/>
      </c>
      <c r="S49" s="5">
        <f>IF(C49="","",SUM(J49,N49,R49))</f>
        <v/>
      </c>
      <c r="T49" s="5">
        <f>IF(C49="","",ROUND(S49*Settings!$B$2,2))</f>
        <v/>
      </c>
      <c r="U49" s="5">
        <f>IF(C49="","",S49+T49)</f>
        <v/>
      </c>
    </row>
    <row r="50">
      <c r="A50" s="3">
        <f>IF(C50="","","PO-"&amp;TEXT(ROW()-1,"0000"))</f>
        <v/>
      </c>
      <c r="D50" s="3">
        <f>IF(C50="","",IFERROR(VLOOKUP(C50,Suppliers!A:B,2,FALSE),""))</f>
        <v/>
      </c>
      <c r="I50" s="4" t="n"/>
      <c r="J50" s="5">
        <f>IF(OR(H50="",I50=""),"",ROUND(H50*I50,2))</f>
        <v/>
      </c>
      <c r="M50" s="4" t="n"/>
      <c r="N50" s="5">
        <f>IF(OR(L50="",M50=""),"",ROUND(L50*M50,2))</f>
        <v/>
      </c>
      <c r="Q50" s="4" t="n"/>
      <c r="R50" s="5">
        <f>IF(OR(P50="",Q50=""),"",ROUND(P50*Q50,2))</f>
        <v/>
      </c>
      <c r="S50" s="5">
        <f>IF(C50="","",SUM(J50,N50,R50))</f>
        <v/>
      </c>
      <c r="T50" s="5">
        <f>IF(C50="","",ROUND(S50*Settings!$B$2,2))</f>
        <v/>
      </c>
      <c r="U50" s="5">
        <f>IF(C50="","",S50+T50)</f>
        <v/>
      </c>
    </row>
    <row r="51">
      <c r="A51" s="3">
        <f>IF(C51="","","PO-"&amp;TEXT(ROW()-1,"0000"))</f>
        <v/>
      </c>
      <c r="D51" s="3">
        <f>IF(C51="","",IFERROR(VLOOKUP(C51,Suppliers!A:B,2,FALSE),""))</f>
        <v/>
      </c>
      <c r="I51" s="4" t="n"/>
      <c r="J51" s="5">
        <f>IF(OR(H51="",I51=""),"",ROUND(H51*I51,2))</f>
        <v/>
      </c>
      <c r="M51" s="4" t="n"/>
      <c r="N51" s="5">
        <f>IF(OR(L51="",M51=""),"",ROUND(L51*M51,2))</f>
        <v/>
      </c>
      <c r="Q51" s="4" t="n"/>
      <c r="R51" s="5">
        <f>IF(OR(P51="",Q51=""),"",ROUND(P51*Q51,2))</f>
        <v/>
      </c>
      <c r="S51" s="5">
        <f>IF(C51="","",SUM(J51,N51,R51))</f>
        <v/>
      </c>
      <c r="T51" s="5">
        <f>IF(C51="","",ROUND(S51*Settings!$B$2,2))</f>
        <v/>
      </c>
      <c r="U51" s="5">
        <f>IF(C51="","",S51+T51)</f>
        <v/>
      </c>
    </row>
    <row r="52">
      <c r="A52" s="3">
        <f>IF(C52="","","PO-"&amp;TEXT(ROW()-1,"0000"))</f>
        <v/>
      </c>
      <c r="D52" s="3">
        <f>IF(C52="","",IFERROR(VLOOKUP(C52,Suppliers!A:B,2,FALSE),""))</f>
        <v/>
      </c>
      <c r="I52" s="4" t="n"/>
      <c r="J52" s="5">
        <f>IF(OR(H52="",I52=""),"",ROUND(H52*I52,2))</f>
        <v/>
      </c>
      <c r="M52" s="4" t="n"/>
      <c r="N52" s="5">
        <f>IF(OR(L52="",M52=""),"",ROUND(L52*M52,2))</f>
        <v/>
      </c>
      <c r="Q52" s="4" t="n"/>
      <c r="R52" s="5">
        <f>IF(OR(P52="",Q52=""),"",ROUND(P52*Q52,2))</f>
        <v/>
      </c>
      <c r="S52" s="5">
        <f>IF(C52="","",SUM(J52,N52,R52))</f>
        <v/>
      </c>
      <c r="T52" s="5">
        <f>IF(C52="","",ROUND(S52*Settings!$B$2,2))</f>
        <v/>
      </c>
      <c r="U52" s="5">
        <f>IF(C52="","",S52+T52)</f>
        <v/>
      </c>
    </row>
    <row r="53">
      <c r="A53" s="3">
        <f>IF(C53="","","PO-"&amp;TEXT(ROW()-1,"0000"))</f>
        <v/>
      </c>
      <c r="D53" s="3">
        <f>IF(C53="","",IFERROR(VLOOKUP(C53,Suppliers!A:B,2,FALSE),""))</f>
        <v/>
      </c>
      <c r="I53" s="4" t="n"/>
      <c r="J53" s="5">
        <f>IF(OR(H53="",I53=""),"",ROUND(H53*I53,2))</f>
        <v/>
      </c>
      <c r="M53" s="4" t="n"/>
      <c r="N53" s="5">
        <f>IF(OR(L53="",M53=""),"",ROUND(L53*M53,2))</f>
        <v/>
      </c>
      <c r="Q53" s="4" t="n"/>
      <c r="R53" s="5">
        <f>IF(OR(P53="",Q53=""),"",ROUND(P53*Q53,2))</f>
        <v/>
      </c>
      <c r="S53" s="5">
        <f>IF(C53="","",SUM(J53,N53,R53))</f>
        <v/>
      </c>
      <c r="T53" s="5">
        <f>IF(C53="","",ROUND(S53*Settings!$B$2,2))</f>
        <v/>
      </c>
      <c r="U53" s="5">
        <f>IF(C53="","",S53+T53)</f>
        <v/>
      </c>
    </row>
    <row r="54">
      <c r="A54" s="3">
        <f>IF(C54="","","PO-"&amp;TEXT(ROW()-1,"0000"))</f>
        <v/>
      </c>
      <c r="D54" s="3">
        <f>IF(C54="","",IFERROR(VLOOKUP(C54,Suppliers!A:B,2,FALSE),""))</f>
        <v/>
      </c>
      <c r="I54" s="4" t="n"/>
      <c r="J54" s="5">
        <f>IF(OR(H54="",I54=""),"",ROUND(H54*I54,2))</f>
        <v/>
      </c>
      <c r="M54" s="4" t="n"/>
      <c r="N54" s="5">
        <f>IF(OR(L54="",M54=""),"",ROUND(L54*M54,2))</f>
        <v/>
      </c>
      <c r="Q54" s="4" t="n"/>
      <c r="R54" s="5">
        <f>IF(OR(P54="",Q54=""),"",ROUND(P54*Q54,2))</f>
        <v/>
      </c>
      <c r="S54" s="5">
        <f>IF(C54="","",SUM(J54,N54,R54))</f>
        <v/>
      </c>
      <c r="T54" s="5">
        <f>IF(C54="","",ROUND(S54*Settings!$B$2,2))</f>
        <v/>
      </c>
      <c r="U54" s="5">
        <f>IF(C54="","",S54+T54)</f>
        <v/>
      </c>
    </row>
    <row r="55">
      <c r="A55" s="3">
        <f>IF(C55="","","PO-"&amp;TEXT(ROW()-1,"0000"))</f>
        <v/>
      </c>
      <c r="D55" s="3">
        <f>IF(C55="","",IFERROR(VLOOKUP(C55,Suppliers!A:B,2,FALSE),""))</f>
        <v/>
      </c>
      <c r="I55" s="4" t="n"/>
      <c r="J55" s="5">
        <f>IF(OR(H55="",I55=""),"",ROUND(H55*I55,2))</f>
        <v/>
      </c>
      <c r="M55" s="4" t="n"/>
      <c r="N55" s="5">
        <f>IF(OR(L55="",M55=""),"",ROUND(L55*M55,2))</f>
        <v/>
      </c>
      <c r="Q55" s="4" t="n"/>
      <c r="R55" s="5">
        <f>IF(OR(P55="",Q55=""),"",ROUND(P55*Q55,2))</f>
        <v/>
      </c>
      <c r="S55" s="5">
        <f>IF(C55="","",SUM(J55,N55,R55))</f>
        <v/>
      </c>
      <c r="T55" s="5">
        <f>IF(C55="","",ROUND(S55*Settings!$B$2,2))</f>
        <v/>
      </c>
      <c r="U55" s="5">
        <f>IF(C55="","",S55+T55)</f>
        <v/>
      </c>
    </row>
    <row r="56">
      <c r="A56" s="3">
        <f>IF(C56="","","PO-"&amp;TEXT(ROW()-1,"0000"))</f>
        <v/>
      </c>
      <c r="D56" s="3">
        <f>IF(C56="","",IFERROR(VLOOKUP(C56,Suppliers!A:B,2,FALSE),""))</f>
        <v/>
      </c>
      <c r="I56" s="4" t="n"/>
      <c r="J56" s="5">
        <f>IF(OR(H56="",I56=""),"",ROUND(H56*I56,2))</f>
        <v/>
      </c>
      <c r="M56" s="4" t="n"/>
      <c r="N56" s="5">
        <f>IF(OR(L56="",M56=""),"",ROUND(L56*M56,2))</f>
        <v/>
      </c>
      <c r="Q56" s="4" t="n"/>
      <c r="R56" s="5">
        <f>IF(OR(P56="",Q56=""),"",ROUND(P56*Q56,2))</f>
        <v/>
      </c>
      <c r="S56" s="5">
        <f>IF(C56="","",SUM(J56,N56,R56))</f>
        <v/>
      </c>
      <c r="T56" s="5">
        <f>IF(C56="","",ROUND(S56*Settings!$B$2,2))</f>
        <v/>
      </c>
      <c r="U56" s="5">
        <f>IF(C56="","",S56+T56)</f>
        <v/>
      </c>
    </row>
    <row r="57">
      <c r="A57" s="3">
        <f>IF(C57="","","PO-"&amp;TEXT(ROW()-1,"0000"))</f>
        <v/>
      </c>
      <c r="D57" s="3">
        <f>IF(C57="","",IFERROR(VLOOKUP(C57,Suppliers!A:B,2,FALSE),""))</f>
        <v/>
      </c>
      <c r="I57" s="4" t="n"/>
      <c r="J57" s="5">
        <f>IF(OR(H57="",I57=""),"",ROUND(H57*I57,2))</f>
        <v/>
      </c>
      <c r="M57" s="4" t="n"/>
      <c r="N57" s="5">
        <f>IF(OR(L57="",M57=""),"",ROUND(L57*M57,2))</f>
        <v/>
      </c>
      <c r="Q57" s="4" t="n"/>
      <c r="R57" s="5">
        <f>IF(OR(P57="",Q57=""),"",ROUND(P57*Q57,2))</f>
        <v/>
      </c>
      <c r="S57" s="5">
        <f>IF(C57="","",SUM(J57,N57,R57))</f>
        <v/>
      </c>
      <c r="T57" s="5">
        <f>IF(C57="","",ROUND(S57*Settings!$B$2,2))</f>
        <v/>
      </c>
      <c r="U57" s="5">
        <f>IF(C57="","",S57+T57)</f>
        <v/>
      </c>
    </row>
    <row r="58">
      <c r="A58" s="3">
        <f>IF(C58="","","PO-"&amp;TEXT(ROW()-1,"0000"))</f>
        <v/>
      </c>
      <c r="D58" s="3">
        <f>IF(C58="","",IFERROR(VLOOKUP(C58,Suppliers!A:B,2,FALSE),""))</f>
        <v/>
      </c>
      <c r="I58" s="4" t="n"/>
      <c r="J58" s="5">
        <f>IF(OR(H58="",I58=""),"",ROUND(H58*I58,2))</f>
        <v/>
      </c>
      <c r="M58" s="4" t="n"/>
      <c r="N58" s="5">
        <f>IF(OR(L58="",M58=""),"",ROUND(L58*M58,2))</f>
        <v/>
      </c>
      <c r="Q58" s="4" t="n"/>
      <c r="R58" s="5">
        <f>IF(OR(P58="",Q58=""),"",ROUND(P58*Q58,2))</f>
        <v/>
      </c>
      <c r="S58" s="5">
        <f>IF(C58="","",SUM(J58,N58,R58))</f>
        <v/>
      </c>
      <c r="T58" s="5">
        <f>IF(C58="","",ROUND(S58*Settings!$B$2,2))</f>
        <v/>
      </c>
      <c r="U58" s="5">
        <f>IF(C58="","",S58+T58)</f>
        <v/>
      </c>
    </row>
    <row r="59">
      <c r="A59" s="3">
        <f>IF(C59="","","PO-"&amp;TEXT(ROW()-1,"0000"))</f>
        <v/>
      </c>
      <c r="D59" s="3">
        <f>IF(C59="","",IFERROR(VLOOKUP(C59,Suppliers!A:B,2,FALSE),""))</f>
        <v/>
      </c>
      <c r="I59" s="4" t="n"/>
      <c r="J59" s="5">
        <f>IF(OR(H59="",I59=""),"",ROUND(H59*I59,2))</f>
        <v/>
      </c>
      <c r="M59" s="4" t="n"/>
      <c r="N59" s="5">
        <f>IF(OR(L59="",M59=""),"",ROUND(L59*M59,2))</f>
        <v/>
      </c>
      <c r="Q59" s="4" t="n"/>
      <c r="R59" s="5">
        <f>IF(OR(P59="",Q59=""),"",ROUND(P59*Q59,2))</f>
        <v/>
      </c>
      <c r="S59" s="5">
        <f>IF(C59="","",SUM(J59,N59,R59))</f>
        <v/>
      </c>
      <c r="T59" s="5">
        <f>IF(C59="","",ROUND(S59*Settings!$B$2,2))</f>
        <v/>
      </c>
      <c r="U59" s="5">
        <f>IF(C59="","",S59+T59)</f>
        <v/>
      </c>
    </row>
    <row r="60">
      <c r="A60" s="3">
        <f>IF(C60="","","PO-"&amp;TEXT(ROW()-1,"0000"))</f>
        <v/>
      </c>
      <c r="D60" s="3">
        <f>IF(C60="","",IFERROR(VLOOKUP(C60,Suppliers!A:B,2,FALSE),""))</f>
        <v/>
      </c>
      <c r="I60" s="4" t="n"/>
      <c r="J60" s="5">
        <f>IF(OR(H60="",I60=""),"",ROUND(H60*I60,2))</f>
        <v/>
      </c>
      <c r="M60" s="4" t="n"/>
      <c r="N60" s="5">
        <f>IF(OR(L60="",M60=""),"",ROUND(L60*M60,2))</f>
        <v/>
      </c>
      <c r="Q60" s="4" t="n"/>
      <c r="R60" s="5">
        <f>IF(OR(P60="",Q60=""),"",ROUND(P60*Q60,2))</f>
        <v/>
      </c>
      <c r="S60" s="5">
        <f>IF(C60="","",SUM(J60,N60,R60))</f>
        <v/>
      </c>
      <c r="T60" s="5">
        <f>IF(C60="","",ROUND(S60*Settings!$B$2,2))</f>
        <v/>
      </c>
      <c r="U60" s="5">
        <f>IF(C60="","",S60+T60)</f>
        <v/>
      </c>
    </row>
    <row r="61">
      <c r="A61" s="3">
        <f>IF(C61="","","PO-"&amp;TEXT(ROW()-1,"0000"))</f>
        <v/>
      </c>
      <c r="D61" s="3">
        <f>IF(C61="","",IFERROR(VLOOKUP(C61,Suppliers!A:B,2,FALSE),""))</f>
        <v/>
      </c>
      <c r="I61" s="4" t="n"/>
      <c r="J61" s="5">
        <f>IF(OR(H61="",I61=""),"",ROUND(H61*I61,2))</f>
        <v/>
      </c>
      <c r="M61" s="4" t="n"/>
      <c r="N61" s="5">
        <f>IF(OR(L61="",M61=""),"",ROUND(L61*M61,2))</f>
        <v/>
      </c>
      <c r="Q61" s="4" t="n"/>
      <c r="R61" s="5">
        <f>IF(OR(P61="",Q61=""),"",ROUND(P61*Q61,2))</f>
        <v/>
      </c>
      <c r="S61" s="5">
        <f>IF(C61="","",SUM(J61,N61,R61))</f>
        <v/>
      </c>
      <c r="T61" s="5">
        <f>IF(C61="","",ROUND(S61*Settings!$B$2,2))</f>
        <v/>
      </c>
      <c r="U61" s="5">
        <f>IF(C61="","",S61+T61)</f>
        <v/>
      </c>
    </row>
    <row r="62">
      <c r="A62" s="3">
        <f>IF(C62="","","PO-"&amp;TEXT(ROW()-1,"0000"))</f>
        <v/>
      </c>
      <c r="D62" s="3">
        <f>IF(C62="","",IFERROR(VLOOKUP(C62,Suppliers!A:B,2,FALSE),""))</f>
        <v/>
      </c>
      <c r="I62" s="4" t="n"/>
      <c r="J62" s="5">
        <f>IF(OR(H62="",I62=""),"",ROUND(H62*I62,2))</f>
        <v/>
      </c>
      <c r="M62" s="4" t="n"/>
      <c r="N62" s="5">
        <f>IF(OR(L62="",M62=""),"",ROUND(L62*M62,2))</f>
        <v/>
      </c>
      <c r="Q62" s="4" t="n"/>
      <c r="R62" s="5">
        <f>IF(OR(P62="",Q62=""),"",ROUND(P62*Q62,2))</f>
        <v/>
      </c>
      <c r="S62" s="5">
        <f>IF(C62="","",SUM(J62,N62,R62))</f>
        <v/>
      </c>
      <c r="T62" s="5">
        <f>IF(C62="","",ROUND(S62*Settings!$B$2,2))</f>
        <v/>
      </c>
      <c r="U62" s="5">
        <f>IF(C62="","",S62+T62)</f>
        <v/>
      </c>
    </row>
    <row r="63">
      <c r="A63" s="3">
        <f>IF(C63="","","PO-"&amp;TEXT(ROW()-1,"0000"))</f>
        <v/>
      </c>
      <c r="D63" s="3">
        <f>IF(C63="","",IFERROR(VLOOKUP(C63,Suppliers!A:B,2,FALSE),""))</f>
        <v/>
      </c>
      <c r="I63" s="4" t="n"/>
      <c r="J63" s="5">
        <f>IF(OR(H63="",I63=""),"",ROUND(H63*I63,2))</f>
        <v/>
      </c>
      <c r="M63" s="4" t="n"/>
      <c r="N63" s="5">
        <f>IF(OR(L63="",M63=""),"",ROUND(L63*M63,2))</f>
        <v/>
      </c>
      <c r="Q63" s="4" t="n"/>
      <c r="R63" s="5">
        <f>IF(OR(P63="",Q63=""),"",ROUND(P63*Q63,2))</f>
        <v/>
      </c>
      <c r="S63" s="5">
        <f>IF(C63="","",SUM(J63,N63,R63))</f>
        <v/>
      </c>
      <c r="T63" s="5">
        <f>IF(C63="","",ROUND(S63*Settings!$B$2,2))</f>
        <v/>
      </c>
      <c r="U63" s="5">
        <f>IF(C63="","",S63+T63)</f>
        <v/>
      </c>
    </row>
    <row r="64">
      <c r="A64" s="3">
        <f>IF(C64="","","PO-"&amp;TEXT(ROW()-1,"0000"))</f>
        <v/>
      </c>
      <c r="D64" s="3">
        <f>IF(C64="","",IFERROR(VLOOKUP(C64,Suppliers!A:B,2,FALSE),""))</f>
        <v/>
      </c>
      <c r="I64" s="4" t="n"/>
      <c r="J64" s="5">
        <f>IF(OR(H64="",I64=""),"",ROUND(H64*I64,2))</f>
        <v/>
      </c>
      <c r="M64" s="4" t="n"/>
      <c r="N64" s="5">
        <f>IF(OR(L64="",M64=""),"",ROUND(L64*M64,2))</f>
        <v/>
      </c>
      <c r="Q64" s="4" t="n"/>
      <c r="R64" s="5">
        <f>IF(OR(P64="",Q64=""),"",ROUND(P64*Q64,2))</f>
        <v/>
      </c>
      <c r="S64" s="5">
        <f>IF(C64="","",SUM(J64,N64,R64))</f>
        <v/>
      </c>
      <c r="T64" s="5">
        <f>IF(C64="","",ROUND(S64*Settings!$B$2,2))</f>
        <v/>
      </c>
      <c r="U64" s="5">
        <f>IF(C64="","",S64+T64)</f>
        <v/>
      </c>
    </row>
    <row r="65">
      <c r="A65" s="3">
        <f>IF(C65="","","PO-"&amp;TEXT(ROW()-1,"0000"))</f>
        <v/>
      </c>
      <c r="D65" s="3">
        <f>IF(C65="","",IFERROR(VLOOKUP(C65,Suppliers!A:B,2,FALSE),""))</f>
        <v/>
      </c>
      <c r="I65" s="4" t="n"/>
      <c r="J65" s="5">
        <f>IF(OR(H65="",I65=""),"",ROUND(H65*I65,2))</f>
        <v/>
      </c>
      <c r="M65" s="4" t="n"/>
      <c r="N65" s="5">
        <f>IF(OR(L65="",M65=""),"",ROUND(L65*M65,2))</f>
        <v/>
      </c>
      <c r="Q65" s="4" t="n"/>
      <c r="R65" s="5">
        <f>IF(OR(P65="",Q65=""),"",ROUND(P65*Q65,2))</f>
        <v/>
      </c>
      <c r="S65" s="5">
        <f>IF(C65="","",SUM(J65,N65,R65))</f>
        <v/>
      </c>
      <c r="T65" s="5">
        <f>IF(C65="","",ROUND(S65*Settings!$B$2,2))</f>
        <v/>
      </c>
      <c r="U65" s="5">
        <f>IF(C65="","",S65+T65)</f>
        <v/>
      </c>
    </row>
    <row r="66">
      <c r="A66" s="3">
        <f>IF(C66="","","PO-"&amp;TEXT(ROW()-1,"0000"))</f>
        <v/>
      </c>
      <c r="D66" s="3">
        <f>IF(C66="","",IFERROR(VLOOKUP(C66,Suppliers!A:B,2,FALSE),""))</f>
        <v/>
      </c>
      <c r="I66" s="4" t="n"/>
      <c r="J66" s="5">
        <f>IF(OR(H66="",I66=""),"",ROUND(H66*I66,2))</f>
        <v/>
      </c>
      <c r="M66" s="4" t="n"/>
      <c r="N66" s="5">
        <f>IF(OR(L66="",M66=""),"",ROUND(L66*M66,2))</f>
        <v/>
      </c>
      <c r="Q66" s="4" t="n"/>
      <c r="R66" s="5">
        <f>IF(OR(P66="",Q66=""),"",ROUND(P66*Q66,2))</f>
        <v/>
      </c>
      <c r="S66" s="5">
        <f>IF(C66="","",SUM(J66,N66,R66))</f>
        <v/>
      </c>
      <c r="T66" s="5">
        <f>IF(C66="","",ROUND(S66*Settings!$B$2,2))</f>
        <v/>
      </c>
      <c r="U66" s="5">
        <f>IF(C66="","",S66+T66)</f>
        <v/>
      </c>
    </row>
    <row r="67">
      <c r="A67" s="3">
        <f>IF(C67="","","PO-"&amp;TEXT(ROW()-1,"0000"))</f>
        <v/>
      </c>
      <c r="D67" s="3">
        <f>IF(C67="","",IFERROR(VLOOKUP(C67,Suppliers!A:B,2,FALSE),""))</f>
        <v/>
      </c>
      <c r="I67" s="4" t="n"/>
      <c r="J67" s="5">
        <f>IF(OR(H67="",I67=""),"",ROUND(H67*I67,2))</f>
        <v/>
      </c>
      <c r="M67" s="4" t="n"/>
      <c r="N67" s="5">
        <f>IF(OR(L67="",M67=""),"",ROUND(L67*M67,2))</f>
        <v/>
      </c>
      <c r="Q67" s="4" t="n"/>
      <c r="R67" s="5">
        <f>IF(OR(P67="",Q67=""),"",ROUND(P67*Q67,2))</f>
        <v/>
      </c>
      <c r="S67" s="5">
        <f>IF(C67="","",SUM(J67,N67,R67))</f>
        <v/>
      </c>
      <c r="T67" s="5">
        <f>IF(C67="","",ROUND(S67*Settings!$B$2,2))</f>
        <v/>
      </c>
      <c r="U67" s="5">
        <f>IF(C67="","",S67+T67)</f>
        <v/>
      </c>
    </row>
    <row r="68">
      <c r="A68" s="3">
        <f>IF(C68="","","PO-"&amp;TEXT(ROW()-1,"0000"))</f>
        <v/>
      </c>
      <c r="D68" s="3">
        <f>IF(C68="","",IFERROR(VLOOKUP(C68,Suppliers!A:B,2,FALSE),""))</f>
        <v/>
      </c>
      <c r="I68" s="4" t="n"/>
      <c r="J68" s="5">
        <f>IF(OR(H68="",I68=""),"",ROUND(H68*I68,2))</f>
        <v/>
      </c>
      <c r="M68" s="4" t="n"/>
      <c r="N68" s="5">
        <f>IF(OR(L68="",M68=""),"",ROUND(L68*M68,2))</f>
        <v/>
      </c>
      <c r="Q68" s="4" t="n"/>
      <c r="R68" s="5">
        <f>IF(OR(P68="",Q68=""),"",ROUND(P68*Q68,2))</f>
        <v/>
      </c>
      <c r="S68" s="5">
        <f>IF(C68="","",SUM(J68,N68,R68))</f>
        <v/>
      </c>
      <c r="T68" s="5">
        <f>IF(C68="","",ROUND(S68*Settings!$B$2,2))</f>
        <v/>
      </c>
      <c r="U68" s="5">
        <f>IF(C68="","",S68+T68)</f>
        <v/>
      </c>
    </row>
    <row r="69">
      <c r="A69" s="3">
        <f>IF(C69="","","PO-"&amp;TEXT(ROW()-1,"0000"))</f>
        <v/>
      </c>
      <c r="D69" s="3">
        <f>IF(C69="","",IFERROR(VLOOKUP(C69,Suppliers!A:B,2,FALSE),""))</f>
        <v/>
      </c>
      <c r="I69" s="4" t="n"/>
      <c r="J69" s="5">
        <f>IF(OR(H69="",I69=""),"",ROUND(H69*I69,2))</f>
        <v/>
      </c>
      <c r="M69" s="4" t="n"/>
      <c r="N69" s="5">
        <f>IF(OR(L69="",M69=""),"",ROUND(L69*M69,2))</f>
        <v/>
      </c>
      <c r="Q69" s="4" t="n"/>
      <c r="R69" s="5">
        <f>IF(OR(P69="",Q69=""),"",ROUND(P69*Q69,2))</f>
        <v/>
      </c>
      <c r="S69" s="5">
        <f>IF(C69="","",SUM(J69,N69,R69))</f>
        <v/>
      </c>
      <c r="T69" s="5">
        <f>IF(C69="","",ROUND(S69*Settings!$B$2,2))</f>
        <v/>
      </c>
      <c r="U69" s="5">
        <f>IF(C69="","",S69+T69)</f>
        <v/>
      </c>
    </row>
    <row r="70">
      <c r="A70" s="3">
        <f>IF(C70="","","PO-"&amp;TEXT(ROW()-1,"0000"))</f>
        <v/>
      </c>
      <c r="D70" s="3">
        <f>IF(C70="","",IFERROR(VLOOKUP(C70,Suppliers!A:B,2,FALSE),""))</f>
        <v/>
      </c>
      <c r="I70" s="4" t="n"/>
      <c r="J70" s="5">
        <f>IF(OR(H70="",I70=""),"",ROUND(H70*I70,2))</f>
        <v/>
      </c>
      <c r="M70" s="4" t="n"/>
      <c r="N70" s="5">
        <f>IF(OR(L70="",M70=""),"",ROUND(L70*M70,2))</f>
        <v/>
      </c>
      <c r="Q70" s="4" t="n"/>
      <c r="R70" s="5">
        <f>IF(OR(P70="",Q70=""),"",ROUND(P70*Q70,2))</f>
        <v/>
      </c>
      <c r="S70" s="5">
        <f>IF(C70="","",SUM(J70,N70,R70))</f>
        <v/>
      </c>
      <c r="T70" s="5">
        <f>IF(C70="","",ROUND(S70*Settings!$B$2,2))</f>
        <v/>
      </c>
      <c r="U70" s="5">
        <f>IF(C70="","",S70+T70)</f>
        <v/>
      </c>
    </row>
    <row r="71">
      <c r="A71" s="3">
        <f>IF(C71="","","PO-"&amp;TEXT(ROW()-1,"0000"))</f>
        <v/>
      </c>
      <c r="D71" s="3">
        <f>IF(C71="","",IFERROR(VLOOKUP(C71,Suppliers!A:B,2,FALSE),""))</f>
        <v/>
      </c>
      <c r="I71" s="4" t="n"/>
      <c r="J71" s="5">
        <f>IF(OR(H71="",I71=""),"",ROUND(H71*I71,2))</f>
        <v/>
      </c>
      <c r="M71" s="4" t="n"/>
      <c r="N71" s="5">
        <f>IF(OR(L71="",M71=""),"",ROUND(L71*M71,2))</f>
        <v/>
      </c>
      <c r="Q71" s="4" t="n"/>
      <c r="R71" s="5">
        <f>IF(OR(P71="",Q71=""),"",ROUND(P71*Q71,2))</f>
        <v/>
      </c>
      <c r="S71" s="5">
        <f>IF(C71="","",SUM(J71,N71,R71))</f>
        <v/>
      </c>
      <c r="T71" s="5">
        <f>IF(C71="","",ROUND(S71*Settings!$B$2,2))</f>
        <v/>
      </c>
      <c r="U71" s="5">
        <f>IF(C71="","",S71+T71)</f>
        <v/>
      </c>
    </row>
    <row r="72">
      <c r="A72" s="3">
        <f>IF(C72="","","PO-"&amp;TEXT(ROW()-1,"0000"))</f>
        <v/>
      </c>
      <c r="D72" s="3">
        <f>IF(C72="","",IFERROR(VLOOKUP(C72,Suppliers!A:B,2,FALSE),""))</f>
        <v/>
      </c>
      <c r="I72" s="4" t="n"/>
      <c r="J72" s="5">
        <f>IF(OR(H72="",I72=""),"",ROUND(H72*I72,2))</f>
        <v/>
      </c>
      <c r="M72" s="4" t="n"/>
      <c r="N72" s="5">
        <f>IF(OR(L72="",M72=""),"",ROUND(L72*M72,2))</f>
        <v/>
      </c>
      <c r="Q72" s="4" t="n"/>
      <c r="R72" s="5">
        <f>IF(OR(P72="",Q72=""),"",ROUND(P72*Q72,2))</f>
        <v/>
      </c>
      <c r="S72" s="5">
        <f>IF(C72="","",SUM(J72,N72,R72))</f>
        <v/>
      </c>
      <c r="T72" s="5">
        <f>IF(C72="","",ROUND(S72*Settings!$B$2,2))</f>
        <v/>
      </c>
      <c r="U72" s="5">
        <f>IF(C72="","",S72+T72)</f>
        <v/>
      </c>
    </row>
    <row r="73">
      <c r="A73" s="3">
        <f>IF(C73="","","PO-"&amp;TEXT(ROW()-1,"0000"))</f>
        <v/>
      </c>
      <c r="D73" s="3">
        <f>IF(C73="","",IFERROR(VLOOKUP(C73,Suppliers!A:B,2,FALSE),""))</f>
        <v/>
      </c>
      <c r="I73" s="4" t="n"/>
      <c r="J73" s="5">
        <f>IF(OR(H73="",I73=""),"",ROUND(H73*I73,2))</f>
        <v/>
      </c>
      <c r="M73" s="4" t="n"/>
      <c r="N73" s="5">
        <f>IF(OR(L73="",M73=""),"",ROUND(L73*M73,2))</f>
        <v/>
      </c>
      <c r="Q73" s="4" t="n"/>
      <c r="R73" s="5">
        <f>IF(OR(P73="",Q73=""),"",ROUND(P73*Q73,2))</f>
        <v/>
      </c>
      <c r="S73" s="5">
        <f>IF(C73="","",SUM(J73,N73,R73))</f>
        <v/>
      </c>
      <c r="T73" s="5">
        <f>IF(C73="","",ROUND(S73*Settings!$B$2,2))</f>
        <v/>
      </c>
      <c r="U73" s="5">
        <f>IF(C73="","",S73+T73)</f>
        <v/>
      </c>
    </row>
    <row r="74">
      <c r="A74" s="3">
        <f>IF(C74="","","PO-"&amp;TEXT(ROW()-1,"0000"))</f>
        <v/>
      </c>
      <c r="D74" s="3">
        <f>IF(C74="","",IFERROR(VLOOKUP(C74,Suppliers!A:B,2,FALSE),""))</f>
        <v/>
      </c>
      <c r="I74" s="4" t="n"/>
      <c r="J74" s="5">
        <f>IF(OR(H74="",I74=""),"",ROUND(H74*I74,2))</f>
        <v/>
      </c>
      <c r="M74" s="4" t="n"/>
      <c r="N74" s="5">
        <f>IF(OR(L74="",M74=""),"",ROUND(L74*M74,2))</f>
        <v/>
      </c>
      <c r="Q74" s="4" t="n"/>
      <c r="R74" s="5">
        <f>IF(OR(P74="",Q74=""),"",ROUND(P74*Q74,2))</f>
        <v/>
      </c>
      <c r="S74" s="5">
        <f>IF(C74="","",SUM(J74,N74,R74))</f>
        <v/>
      </c>
      <c r="T74" s="5">
        <f>IF(C74="","",ROUND(S74*Settings!$B$2,2))</f>
        <v/>
      </c>
      <c r="U74" s="5">
        <f>IF(C74="","",S74+T74)</f>
        <v/>
      </c>
    </row>
    <row r="75">
      <c r="A75" s="3">
        <f>IF(C75="","","PO-"&amp;TEXT(ROW()-1,"0000"))</f>
        <v/>
      </c>
      <c r="D75" s="3">
        <f>IF(C75="","",IFERROR(VLOOKUP(C75,Suppliers!A:B,2,FALSE),""))</f>
        <v/>
      </c>
      <c r="I75" s="4" t="n"/>
      <c r="J75" s="5">
        <f>IF(OR(H75="",I75=""),"",ROUND(H75*I75,2))</f>
        <v/>
      </c>
      <c r="M75" s="4" t="n"/>
      <c r="N75" s="5">
        <f>IF(OR(L75="",M75=""),"",ROUND(L75*M75,2))</f>
        <v/>
      </c>
      <c r="Q75" s="4" t="n"/>
      <c r="R75" s="5">
        <f>IF(OR(P75="",Q75=""),"",ROUND(P75*Q75,2))</f>
        <v/>
      </c>
      <c r="S75" s="5">
        <f>IF(C75="","",SUM(J75,N75,R75))</f>
        <v/>
      </c>
      <c r="T75" s="5">
        <f>IF(C75="","",ROUND(S75*Settings!$B$2,2))</f>
        <v/>
      </c>
      <c r="U75" s="5">
        <f>IF(C75="","",S75+T75)</f>
        <v/>
      </c>
    </row>
    <row r="76">
      <c r="A76" s="3">
        <f>IF(C76="","","PO-"&amp;TEXT(ROW()-1,"0000"))</f>
        <v/>
      </c>
      <c r="D76" s="3">
        <f>IF(C76="","",IFERROR(VLOOKUP(C76,Suppliers!A:B,2,FALSE),""))</f>
        <v/>
      </c>
      <c r="I76" s="4" t="n"/>
      <c r="J76" s="5">
        <f>IF(OR(H76="",I76=""),"",ROUND(H76*I76,2))</f>
        <v/>
      </c>
      <c r="M76" s="4" t="n"/>
      <c r="N76" s="5">
        <f>IF(OR(L76="",M76=""),"",ROUND(L76*M76,2))</f>
        <v/>
      </c>
      <c r="Q76" s="4" t="n"/>
      <c r="R76" s="5">
        <f>IF(OR(P76="",Q76=""),"",ROUND(P76*Q76,2))</f>
        <v/>
      </c>
      <c r="S76" s="5">
        <f>IF(C76="","",SUM(J76,N76,R76))</f>
        <v/>
      </c>
      <c r="T76" s="5">
        <f>IF(C76="","",ROUND(S76*Settings!$B$2,2))</f>
        <v/>
      </c>
      <c r="U76" s="5">
        <f>IF(C76="","",S76+T76)</f>
        <v/>
      </c>
    </row>
    <row r="77">
      <c r="A77" s="3">
        <f>IF(C77="","","PO-"&amp;TEXT(ROW()-1,"0000"))</f>
        <v/>
      </c>
      <c r="D77" s="3">
        <f>IF(C77="","",IFERROR(VLOOKUP(C77,Suppliers!A:B,2,FALSE),""))</f>
        <v/>
      </c>
      <c r="I77" s="4" t="n"/>
      <c r="J77" s="5">
        <f>IF(OR(H77="",I77=""),"",ROUND(H77*I77,2))</f>
        <v/>
      </c>
      <c r="M77" s="4" t="n"/>
      <c r="N77" s="5">
        <f>IF(OR(L77="",M77=""),"",ROUND(L77*M77,2))</f>
        <v/>
      </c>
      <c r="Q77" s="4" t="n"/>
      <c r="R77" s="5">
        <f>IF(OR(P77="",Q77=""),"",ROUND(P77*Q77,2))</f>
        <v/>
      </c>
      <c r="S77" s="5">
        <f>IF(C77="","",SUM(J77,N77,R77))</f>
        <v/>
      </c>
      <c r="T77" s="5">
        <f>IF(C77="","",ROUND(S77*Settings!$B$2,2))</f>
        <v/>
      </c>
      <c r="U77" s="5">
        <f>IF(C77="","",S77+T77)</f>
        <v/>
      </c>
    </row>
    <row r="78">
      <c r="A78" s="3">
        <f>IF(C78="","","PO-"&amp;TEXT(ROW()-1,"0000"))</f>
        <v/>
      </c>
      <c r="D78" s="3">
        <f>IF(C78="","",IFERROR(VLOOKUP(C78,Suppliers!A:B,2,FALSE),""))</f>
        <v/>
      </c>
      <c r="I78" s="4" t="n"/>
      <c r="J78" s="5">
        <f>IF(OR(H78="",I78=""),"",ROUND(H78*I78,2))</f>
        <v/>
      </c>
      <c r="M78" s="4" t="n"/>
      <c r="N78" s="5">
        <f>IF(OR(L78="",M78=""),"",ROUND(L78*M78,2))</f>
        <v/>
      </c>
      <c r="Q78" s="4" t="n"/>
      <c r="R78" s="5">
        <f>IF(OR(P78="",Q78=""),"",ROUND(P78*Q78,2))</f>
        <v/>
      </c>
      <c r="S78" s="5">
        <f>IF(C78="","",SUM(J78,N78,R78))</f>
        <v/>
      </c>
      <c r="T78" s="5">
        <f>IF(C78="","",ROUND(S78*Settings!$B$2,2))</f>
        <v/>
      </c>
      <c r="U78" s="5">
        <f>IF(C78="","",S78+T78)</f>
        <v/>
      </c>
    </row>
    <row r="79">
      <c r="A79" s="3">
        <f>IF(C79="","","PO-"&amp;TEXT(ROW()-1,"0000"))</f>
        <v/>
      </c>
      <c r="D79" s="3">
        <f>IF(C79="","",IFERROR(VLOOKUP(C79,Suppliers!A:B,2,FALSE),""))</f>
        <v/>
      </c>
      <c r="I79" s="4" t="n"/>
      <c r="J79" s="5">
        <f>IF(OR(H79="",I79=""),"",ROUND(H79*I79,2))</f>
        <v/>
      </c>
      <c r="M79" s="4" t="n"/>
      <c r="N79" s="5">
        <f>IF(OR(L79="",M79=""),"",ROUND(L79*M79,2))</f>
        <v/>
      </c>
      <c r="Q79" s="4" t="n"/>
      <c r="R79" s="5">
        <f>IF(OR(P79="",Q79=""),"",ROUND(P79*Q79,2))</f>
        <v/>
      </c>
      <c r="S79" s="5">
        <f>IF(C79="","",SUM(J79,N79,R79))</f>
        <v/>
      </c>
      <c r="T79" s="5">
        <f>IF(C79="","",ROUND(S79*Settings!$B$2,2))</f>
        <v/>
      </c>
      <c r="U79" s="5">
        <f>IF(C79="","",S79+T79)</f>
        <v/>
      </c>
    </row>
    <row r="80">
      <c r="A80" s="3">
        <f>IF(C80="","","PO-"&amp;TEXT(ROW()-1,"0000"))</f>
        <v/>
      </c>
      <c r="D80" s="3">
        <f>IF(C80="","",IFERROR(VLOOKUP(C80,Suppliers!A:B,2,FALSE),""))</f>
        <v/>
      </c>
      <c r="I80" s="4" t="n"/>
      <c r="J80" s="5">
        <f>IF(OR(H80="",I80=""),"",ROUND(H80*I80,2))</f>
        <v/>
      </c>
      <c r="M80" s="4" t="n"/>
      <c r="N80" s="5">
        <f>IF(OR(L80="",M80=""),"",ROUND(L80*M80,2))</f>
        <v/>
      </c>
      <c r="Q80" s="4" t="n"/>
      <c r="R80" s="5">
        <f>IF(OR(P80="",Q80=""),"",ROUND(P80*Q80,2))</f>
        <v/>
      </c>
      <c r="S80" s="5">
        <f>IF(C80="","",SUM(J80,N80,R80))</f>
        <v/>
      </c>
      <c r="T80" s="5">
        <f>IF(C80="","",ROUND(S80*Settings!$B$2,2))</f>
        <v/>
      </c>
      <c r="U80" s="5">
        <f>IF(C80="","",S80+T80)</f>
        <v/>
      </c>
    </row>
    <row r="81">
      <c r="A81" s="3">
        <f>IF(C81="","","PO-"&amp;TEXT(ROW()-1,"0000"))</f>
        <v/>
      </c>
      <c r="D81" s="3">
        <f>IF(C81="","",IFERROR(VLOOKUP(C81,Suppliers!A:B,2,FALSE),""))</f>
        <v/>
      </c>
      <c r="I81" s="4" t="n"/>
      <c r="J81" s="5">
        <f>IF(OR(H81="",I81=""),"",ROUND(H81*I81,2))</f>
        <v/>
      </c>
      <c r="M81" s="4" t="n"/>
      <c r="N81" s="5">
        <f>IF(OR(L81="",M81=""),"",ROUND(L81*M81,2))</f>
        <v/>
      </c>
      <c r="Q81" s="4" t="n"/>
      <c r="R81" s="5">
        <f>IF(OR(P81="",Q81=""),"",ROUND(P81*Q81,2))</f>
        <v/>
      </c>
      <c r="S81" s="5">
        <f>IF(C81="","",SUM(J81,N81,R81))</f>
        <v/>
      </c>
      <c r="T81" s="5">
        <f>IF(C81="","",ROUND(S81*Settings!$B$2,2))</f>
        <v/>
      </c>
      <c r="U81" s="5">
        <f>IF(C81="","",S81+T81)</f>
        <v/>
      </c>
    </row>
    <row r="82">
      <c r="A82" s="3">
        <f>IF(C82="","","PO-"&amp;TEXT(ROW()-1,"0000"))</f>
        <v/>
      </c>
      <c r="D82" s="3">
        <f>IF(C82="","",IFERROR(VLOOKUP(C82,Suppliers!A:B,2,FALSE),""))</f>
        <v/>
      </c>
      <c r="I82" s="4" t="n"/>
      <c r="J82" s="5">
        <f>IF(OR(H82="",I82=""),"",ROUND(H82*I82,2))</f>
        <v/>
      </c>
      <c r="M82" s="4" t="n"/>
      <c r="N82" s="5">
        <f>IF(OR(L82="",M82=""),"",ROUND(L82*M82,2))</f>
        <v/>
      </c>
      <c r="Q82" s="4" t="n"/>
      <c r="R82" s="5">
        <f>IF(OR(P82="",Q82=""),"",ROUND(P82*Q82,2))</f>
        <v/>
      </c>
      <c r="S82" s="5">
        <f>IF(C82="","",SUM(J82,N82,R82))</f>
        <v/>
      </c>
      <c r="T82" s="5">
        <f>IF(C82="","",ROUND(S82*Settings!$B$2,2))</f>
        <v/>
      </c>
      <c r="U82" s="5">
        <f>IF(C82="","",S82+T82)</f>
        <v/>
      </c>
    </row>
    <row r="83">
      <c r="A83" s="3">
        <f>IF(C83="","","PO-"&amp;TEXT(ROW()-1,"0000"))</f>
        <v/>
      </c>
      <c r="D83" s="3">
        <f>IF(C83="","",IFERROR(VLOOKUP(C83,Suppliers!A:B,2,FALSE),""))</f>
        <v/>
      </c>
      <c r="I83" s="4" t="n"/>
      <c r="J83" s="5">
        <f>IF(OR(H83="",I83=""),"",ROUND(H83*I83,2))</f>
        <v/>
      </c>
      <c r="M83" s="4" t="n"/>
      <c r="N83" s="5">
        <f>IF(OR(L83="",M83=""),"",ROUND(L83*M83,2))</f>
        <v/>
      </c>
      <c r="Q83" s="4" t="n"/>
      <c r="R83" s="5">
        <f>IF(OR(P83="",Q83=""),"",ROUND(P83*Q83,2))</f>
        <v/>
      </c>
      <c r="S83" s="5">
        <f>IF(C83="","",SUM(J83,N83,R83))</f>
        <v/>
      </c>
      <c r="T83" s="5">
        <f>IF(C83="","",ROUND(S83*Settings!$B$2,2))</f>
        <v/>
      </c>
      <c r="U83" s="5">
        <f>IF(C83="","",S83+T83)</f>
        <v/>
      </c>
    </row>
    <row r="84">
      <c r="A84" s="3">
        <f>IF(C84="","","PO-"&amp;TEXT(ROW()-1,"0000"))</f>
        <v/>
      </c>
      <c r="D84" s="3">
        <f>IF(C84="","",IFERROR(VLOOKUP(C84,Suppliers!A:B,2,FALSE),""))</f>
        <v/>
      </c>
      <c r="I84" s="4" t="n"/>
      <c r="J84" s="5">
        <f>IF(OR(H84="",I84=""),"",ROUND(H84*I84,2))</f>
        <v/>
      </c>
      <c r="M84" s="4" t="n"/>
      <c r="N84" s="5">
        <f>IF(OR(L84="",M84=""),"",ROUND(L84*M84,2))</f>
        <v/>
      </c>
      <c r="Q84" s="4" t="n"/>
      <c r="R84" s="5">
        <f>IF(OR(P84="",Q84=""),"",ROUND(P84*Q84,2))</f>
        <v/>
      </c>
      <c r="S84" s="5">
        <f>IF(C84="","",SUM(J84,N84,R84))</f>
        <v/>
      </c>
      <c r="T84" s="5">
        <f>IF(C84="","",ROUND(S84*Settings!$B$2,2))</f>
        <v/>
      </c>
      <c r="U84" s="5">
        <f>IF(C84="","",S84+T84)</f>
        <v/>
      </c>
    </row>
    <row r="85">
      <c r="A85" s="3">
        <f>IF(C85="","","PO-"&amp;TEXT(ROW()-1,"0000"))</f>
        <v/>
      </c>
      <c r="D85" s="3">
        <f>IF(C85="","",IFERROR(VLOOKUP(C85,Suppliers!A:B,2,FALSE),""))</f>
        <v/>
      </c>
      <c r="I85" s="4" t="n"/>
      <c r="J85" s="5">
        <f>IF(OR(H85="",I85=""),"",ROUND(H85*I85,2))</f>
        <v/>
      </c>
      <c r="M85" s="4" t="n"/>
      <c r="N85" s="5">
        <f>IF(OR(L85="",M85=""),"",ROUND(L85*M85,2))</f>
        <v/>
      </c>
      <c r="Q85" s="4" t="n"/>
      <c r="R85" s="5">
        <f>IF(OR(P85="",Q85=""),"",ROUND(P85*Q85,2))</f>
        <v/>
      </c>
      <c r="S85" s="5">
        <f>IF(C85="","",SUM(J85,N85,R85))</f>
        <v/>
      </c>
      <c r="T85" s="5">
        <f>IF(C85="","",ROUND(S85*Settings!$B$2,2))</f>
        <v/>
      </c>
      <c r="U85" s="5">
        <f>IF(C85="","",S85+T85)</f>
        <v/>
      </c>
    </row>
    <row r="86">
      <c r="A86" s="3">
        <f>IF(C86="","","PO-"&amp;TEXT(ROW()-1,"0000"))</f>
        <v/>
      </c>
      <c r="D86" s="3">
        <f>IF(C86="","",IFERROR(VLOOKUP(C86,Suppliers!A:B,2,FALSE),""))</f>
        <v/>
      </c>
      <c r="I86" s="4" t="n"/>
      <c r="J86" s="5">
        <f>IF(OR(H86="",I86=""),"",ROUND(H86*I86,2))</f>
        <v/>
      </c>
      <c r="M86" s="4" t="n"/>
      <c r="N86" s="5">
        <f>IF(OR(L86="",M86=""),"",ROUND(L86*M86,2))</f>
        <v/>
      </c>
      <c r="Q86" s="4" t="n"/>
      <c r="R86" s="5">
        <f>IF(OR(P86="",Q86=""),"",ROUND(P86*Q86,2))</f>
        <v/>
      </c>
      <c r="S86" s="5">
        <f>IF(C86="","",SUM(J86,N86,R86))</f>
        <v/>
      </c>
      <c r="T86" s="5">
        <f>IF(C86="","",ROUND(S86*Settings!$B$2,2))</f>
        <v/>
      </c>
      <c r="U86" s="5">
        <f>IF(C86="","",S86+T86)</f>
        <v/>
      </c>
    </row>
    <row r="87">
      <c r="A87" s="3">
        <f>IF(C87="","","PO-"&amp;TEXT(ROW()-1,"0000"))</f>
        <v/>
      </c>
      <c r="D87" s="3">
        <f>IF(C87="","",IFERROR(VLOOKUP(C87,Suppliers!A:B,2,FALSE),""))</f>
        <v/>
      </c>
      <c r="I87" s="4" t="n"/>
      <c r="J87" s="5">
        <f>IF(OR(H87="",I87=""),"",ROUND(H87*I87,2))</f>
        <v/>
      </c>
      <c r="M87" s="4" t="n"/>
      <c r="N87" s="5">
        <f>IF(OR(L87="",M87=""),"",ROUND(L87*M87,2))</f>
        <v/>
      </c>
      <c r="Q87" s="4" t="n"/>
      <c r="R87" s="5">
        <f>IF(OR(P87="",Q87=""),"",ROUND(P87*Q87,2))</f>
        <v/>
      </c>
      <c r="S87" s="5">
        <f>IF(C87="","",SUM(J87,N87,R87))</f>
        <v/>
      </c>
      <c r="T87" s="5">
        <f>IF(C87="","",ROUND(S87*Settings!$B$2,2))</f>
        <v/>
      </c>
      <c r="U87" s="5">
        <f>IF(C87="","",S87+T87)</f>
        <v/>
      </c>
    </row>
    <row r="88">
      <c r="A88" s="3">
        <f>IF(C88="","","PO-"&amp;TEXT(ROW()-1,"0000"))</f>
        <v/>
      </c>
      <c r="D88" s="3">
        <f>IF(C88="","",IFERROR(VLOOKUP(C88,Suppliers!A:B,2,FALSE),""))</f>
        <v/>
      </c>
      <c r="I88" s="4" t="n"/>
      <c r="J88" s="5">
        <f>IF(OR(H88="",I88=""),"",ROUND(H88*I88,2))</f>
        <v/>
      </c>
      <c r="M88" s="4" t="n"/>
      <c r="N88" s="5">
        <f>IF(OR(L88="",M88=""),"",ROUND(L88*M88,2))</f>
        <v/>
      </c>
      <c r="Q88" s="4" t="n"/>
      <c r="R88" s="5">
        <f>IF(OR(P88="",Q88=""),"",ROUND(P88*Q88,2))</f>
        <v/>
      </c>
      <c r="S88" s="5">
        <f>IF(C88="","",SUM(J88,N88,R88))</f>
        <v/>
      </c>
      <c r="T88" s="5">
        <f>IF(C88="","",ROUND(S88*Settings!$B$2,2))</f>
        <v/>
      </c>
      <c r="U88" s="5">
        <f>IF(C88="","",S88+T88)</f>
        <v/>
      </c>
    </row>
    <row r="89">
      <c r="A89" s="3">
        <f>IF(C89="","","PO-"&amp;TEXT(ROW()-1,"0000"))</f>
        <v/>
      </c>
      <c r="D89" s="3">
        <f>IF(C89="","",IFERROR(VLOOKUP(C89,Suppliers!A:B,2,FALSE),""))</f>
        <v/>
      </c>
      <c r="I89" s="4" t="n"/>
      <c r="J89" s="5">
        <f>IF(OR(H89="",I89=""),"",ROUND(H89*I89,2))</f>
        <v/>
      </c>
      <c r="M89" s="4" t="n"/>
      <c r="N89" s="5">
        <f>IF(OR(L89="",M89=""),"",ROUND(L89*M89,2))</f>
        <v/>
      </c>
      <c r="Q89" s="4" t="n"/>
      <c r="R89" s="5">
        <f>IF(OR(P89="",Q89=""),"",ROUND(P89*Q89,2))</f>
        <v/>
      </c>
      <c r="S89" s="5">
        <f>IF(C89="","",SUM(J89,N89,R89))</f>
        <v/>
      </c>
      <c r="T89" s="5">
        <f>IF(C89="","",ROUND(S89*Settings!$B$2,2))</f>
        <v/>
      </c>
      <c r="U89" s="5">
        <f>IF(C89="","",S89+T89)</f>
        <v/>
      </c>
    </row>
    <row r="90">
      <c r="A90" s="3">
        <f>IF(C90="","","PO-"&amp;TEXT(ROW()-1,"0000"))</f>
        <v/>
      </c>
      <c r="D90" s="3">
        <f>IF(C90="","",IFERROR(VLOOKUP(C90,Suppliers!A:B,2,FALSE),""))</f>
        <v/>
      </c>
      <c r="I90" s="4" t="n"/>
      <c r="J90" s="5">
        <f>IF(OR(H90="",I90=""),"",ROUND(H90*I90,2))</f>
        <v/>
      </c>
      <c r="M90" s="4" t="n"/>
      <c r="N90" s="5">
        <f>IF(OR(L90="",M90=""),"",ROUND(L90*M90,2))</f>
        <v/>
      </c>
      <c r="Q90" s="4" t="n"/>
      <c r="R90" s="5">
        <f>IF(OR(P90="",Q90=""),"",ROUND(P90*Q90,2))</f>
        <v/>
      </c>
      <c r="S90" s="5">
        <f>IF(C90="","",SUM(J90,N90,R90))</f>
        <v/>
      </c>
      <c r="T90" s="5">
        <f>IF(C90="","",ROUND(S90*Settings!$B$2,2))</f>
        <v/>
      </c>
      <c r="U90" s="5">
        <f>IF(C90="","",S90+T90)</f>
        <v/>
      </c>
    </row>
    <row r="91">
      <c r="A91" s="3">
        <f>IF(C91="","","PO-"&amp;TEXT(ROW()-1,"0000"))</f>
        <v/>
      </c>
      <c r="D91" s="3">
        <f>IF(C91="","",IFERROR(VLOOKUP(C91,Suppliers!A:B,2,FALSE),""))</f>
        <v/>
      </c>
      <c r="I91" s="4" t="n"/>
      <c r="J91" s="5">
        <f>IF(OR(H91="",I91=""),"",ROUND(H91*I91,2))</f>
        <v/>
      </c>
      <c r="M91" s="4" t="n"/>
      <c r="N91" s="5">
        <f>IF(OR(L91="",M91=""),"",ROUND(L91*M91,2))</f>
        <v/>
      </c>
      <c r="Q91" s="4" t="n"/>
      <c r="R91" s="5">
        <f>IF(OR(P91="",Q91=""),"",ROUND(P91*Q91,2))</f>
        <v/>
      </c>
      <c r="S91" s="5">
        <f>IF(C91="","",SUM(J91,N91,R91))</f>
        <v/>
      </c>
      <c r="T91" s="5">
        <f>IF(C91="","",ROUND(S91*Settings!$B$2,2))</f>
        <v/>
      </c>
      <c r="U91" s="5">
        <f>IF(C91="","",S91+T91)</f>
        <v/>
      </c>
    </row>
    <row r="92">
      <c r="A92" s="3">
        <f>IF(C92="","","PO-"&amp;TEXT(ROW()-1,"0000"))</f>
        <v/>
      </c>
      <c r="D92" s="3">
        <f>IF(C92="","",IFERROR(VLOOKUP(C92,Suppliers!A:B,2,FALSE),""))</f>
        <v/>
      </c>
      <c r="I92" s="4" t="n"/>
      <c r="J92" s="5">
        <f>IF(OR(H92="",I92=""),"",ROUND(H92*I92,2))</f>
        <v/>
      </c>
      <c r="M92" s="4" t="n"/>
      <c r="N92" s="5">
        <f>IF(OR(L92="",M92=""),"",ROUND(L92*M92,2))</f>
        <v/>
      </c>
      <c r="Q92" s="4" t="n"/>
      <c r="R92" s="5">
        <f>IF(OR(P92="",Q92=""),"",ROUND(P92*Q92,2))</f>
        <v/>
      </c>
      <c r="S92" s="5">
        <f>IF(C92="","",SUM(J92,N92,R92))</f>
        <v/>
      </c>
      <c r="T92" s="5">
        <f>IF(C92="","",ROUND(S92*Settings!$B$2,2))</f>
        <v/>
      </c>
      <c r="U92" s="5">
        <f>IF(C92="","",S92+T92)</f>
        <v/>
      </c>
    </row>
    <row r="93">
      <c r="A93" s="3">
        <f>IF(C93="","","PO-"&amp;TEXT(ROW()-1,"0000"))</f>
        <v/>
      </c>
      <c r="D93" s="3">
        <f>IF(C93="","",IFERROR(VLOOKUP(C93,Suppliers!A:B,2,FALSE),""))</f>
        <v/>
      </c>
      <c r="I93" s="4" t="n"/>
      <c r="J93" s="5">
        <f>IF(OR(H93="",I93=""),"",ROUND(H93*I93,2))</f>
        <v/>
      </c>
      <c r="M93" s="4" t="n"/>
      <c r="N93" s="5">
        <f>IF(OR(L93="",M93=""),"",ROUND(L93*M93,2))</f>
        <v/>
      </c>
      <c r="Q93" s="4" t="n"/>
      <c r="R93" s="5">
        <f>IF(OR(P93="",Q93=""),"",ROUND(P93*Q93,2))</f>
        <v/>
      </c>
      <c r="S93" s="5">
        <f>IF(C93="","",SUM(J93,N93,R93))</f>
        <v/>
      </c>
      <c r="T93" s="5">
        <f>IF(C93="","",ROUND(S93*Settings!$B$2,2))</f>
        <v/>
      </c>
      <c r="U93" s="5">
        <f>IF(C93="","",S93+T93)</f>
        <v/>
      </c>
    </row>
    <row r="94">
      <c r="A94" s="3">
        <f>IF(C94="","","PO-"&amp;TEXT(ROW()-1,"0000"))</f>
        <v/>
      </c>
      <c r="D94" s="3">
        <f>IF(C94="","",IFERROR(VLOOKUP(C94,Suppliers!A:B,2,FALSE),""))</f>
        <v/>
      </c>
      <c r="I94" s="4" t="n"/>
      <c r="J94" s="5">
        <f>IF(OR(H94="",I94=""),"",ROUND(H94*I94,2))</f>
        <v/>
      </c>
      <c r="M94" s="4" t="n"/>
      <c r="N94" s="5">
        <f>IF(OR(L94="",M94=""),"",ROUND(L94*M94,2))</f>
        <v/>
      </c>
      <c r="Q94" s="4" t="n"/>
      <c r="R94" s="5">
        <f>IF(OR(P94="",Q94=""),"",ROUND(P94*Q94,2))</f>
        <v/>
      </c>
      <c r="S94" s="5">
        <f>IF(C94="","",SUM(J94,N94,R94))</f>
        <v/>
      </c>
      <c r="T94" s="5">
        <f>IF(C94="","",ROUND(S94*Settings!$B$2,2))</f>
        <v/>
      </c>
      <c r="U94" s="5">
        <f>IF(C94="","",S94+T94)</f>
        <v/>
      </c>
    </row>
    <row r="95">
      <c r="A95" s="3">
        <f>IF(C95="","","PO-"&amp;TEXT(ROW()-1,"0000"))</f>
        <v/>
      </c>
      <c r="D95" s="3">
        <f>IF(C95="","",IFERROR(VLOOKUP(C95,Suppliers!A:B,2,FALSE),""))</f>
        <v/>
      </c>
      <c r="I95" s="4" t="n"/>
      <c r="J95" s="5">
        <f>IF(OR(H95="",I95=""),"",ROUND(H95*I95,2))</f>
        <v/>
      </c>
      <c r="M95" s="4" t="n"/>
      <c r="N95" s="5">
        <f>IF(OR(L95="",M95=""),"",ROUND(L95*M95,2))</f>
        <v/>
      </c>
      <c r="Q95" s="4" t="n"/>
      <c r="R95" s="5">
        <f>IF(OR(P95="",Q95=""),"",ROUND(P95*Q95,2))</f>
        <v/>
      </c>
      <c r="S95" s="5">
        <f>IF(C95="","",SUM(J95,N95,R95))</f>
        <v/>
      </c>
      <c r="T95" s="5">
        <f>IF(C95="","",ROUND(S95*Settings!$B$2,2))</f>
        <v/>
      </c>
      <c r="U95" s="5">
        <f>IF(C95="","",S95+T95)</f>
        <v/>
      </c>
    </row>
    <row r="96">
      <c r="A96" s="3">
        <f>IF(C96="","","PO-"&amp;TEXT(ROW()-1,"0000"))</f>
        <v/>
      </c>
      <c r="D96" s="3">
        <f>IF(C96="","",IFERROR(VLOOKUP(C96,Suppliers!A:B,2,FALSE),""))</f>
        <v/>
      </c>
      <c r="I96" s="4" t="n"/>
      <c r="J96" s="5">
        <f>IF(OR(H96="",I96=""),"",ROUND(H96*I96,2))</f>
        <v/>
      </c>
      <c r="M96" s="4" t="n"/>
      <c r="N96" s="5">
        <f>IF(OR(L96="",M96=""),"",ROUND(L96*M96,2))</f>
        <v/>
      </c>
      <c r="Q96" s="4" t="n"/>
      <c r="R96" s="5">
        <f>IF(OR(P96="",Q96=""),"",ROUND(P96*Q96,2))</f>
        <v/>
      </c>
      <c r="S96" s="5">
        <f>IF(C96="","",SUM(J96,N96,R96))</f>
        <v/>
      </c>
      <c r="T96" s="5">
        <f>IF(C96="","",ROUND(S96*Settings!$B$2,2))</f>
        <v/>
      </c>
      <c r="U96" s="5">
        <f>IF(C96="","",S96+T96)</f>
        <v/>
      </c>
    </row>
    <row r="97">
      <c r="A97" s="3">
        <f>IF(C97="","","PO-"&amp;TEXT(ROW()-1,"0000"))</f>
        <v/>
      </c>
      <c r="D97" s="3">
        <f>IF(C97="","",IFERROR(VLOOKUP(C97,Suppliers!A:B,2,FALSE),""))</f>
        <v/>
      </c>
      <c r="I97" s="4" t="n"/>
      <c r="J97" s="5">
        <f>IF(OR(H97="",I97=""),"",ROUND(H97*I97,2))</f>
        <v/>
      </c>
      <c r="M97" s="4" t="n"/>
      <c r="N97" s="5">
        <f>IF(OR(L97="",M97=""),"",ROUND(L97*M97,2))</f>
        <v/>
      </c>
      <c r="Q97" s="4" t="n"/>
      <c r="R97" s="5">
        <f>IF(OR(P97="",Q97=""),"",ROUND(P97*Q97,2))</f>
        <v/>
      </c>
      <c r="S97" s="5">
        <f>IF(C97="","",SUM(J97,N97,R97))</f>
        <v/>
      </c>
      <c r="T97" s="5">
        <f>IF(C97="","",ROUND(S97*Settings!$B$2,2))</f>
        <v/>
      </c>
      <c r="U97" s="5">
        <f>IF(C97="","",S97+T97)</f>
        <v/>
      </c>
    </row>
    <row r="98">
      <c r="A98" s="3">
        <f>IF(C98="","","PO-"&amp;TEXT(ROW()-1,"0000"))</f>
        <v/>
      </c>
      <c r="D98" s="3">
        <f>IF(C98="","",IFERROR(VLOOKUP(C98,Suppliers!A:B,2,FALSE),""))</f>
        <v/>
      </c>
      <c r="I98" s="4" t="n"/>
      <c r="J98" s="5">
        <f>IF(OR(H98="",I98=""),"",ROUND(H98*I98,2))</f>
        <v/>
      </c>
      <c r="M98" s="4" t="n"/>
      <c r="N98" s="5">
        <f>IF(OR(L98="",M98=""),"",ROUND(L98*M98,2))</f>
        <v/>
      </c>
      <c r="Q98" s="4" t="n"/>
      <c r="R98" s="5">
        <f>IF(OR(P98="",Q98=""),"",ROUND(P98*Q98,2))</f>
        <v/>
      </c>
      <c r="S98" s="5">
        <f>IF(C98="","",SUM(J98,N98,R98))</f>
        <v/>
      </c>
      <c r="T98" s="5">
        <f>IF(C98="","",ROUND(S98*Settings!$B$2,2))</f>
        <v/>
      </c>
      <c r="U98" s="5">
        <f>IF(C98="","",S98+T98)</f>
        <v/>
      </c>
    </row>
    <row r="99">
      <c r="A99" s="3">
        <f>IF(C99="","","PO-"&amp;TEXT(ROW()-1,"0000"))</f>
        <v/>
      </c>
      <c r="D99" s="3">
        <f>IF(C99="","",IFERROR(VLOOKUP(C99,Suppliers!A:B,2,FALSE),""))</f>
        <v/>
      </c>
      <c r="I99" s="4" t="n"/>
      <c r="J99" s="5">
        <f>IF(OR(H99="",I99=""),"",ROUND(H99*I99,2))</f>
        <v/>
      </c>
      <c r="M99" s="4" t="n"/>
      <c r="N99" s="5">
        <f>IF(OR(L99="",M99=""),"",ROUND(L99*M99,2))</f>
        <v/>
      </c>
      <c r="Q99" s="4" t="n"/>
      <c r="R99" s="5">
        <f>IF(OR(P99="",Q99=""),"",ROUND(P99*Q99,2))</f>
        <v/>
      </c>
      <c r="S99" s="5">
        <f>IF(C99="","",SUM(J99,N99,R99))</f>
        <v/>
      </c>
      <c r="T99" s="5">
        <f>IF(C99="","",ROUND(S99*Settings!$B$2,2))</f>
        <v/>
      </c>
      <c r="U99" s="5">
        <f>IF(C99="","",S99+T99)</f>
        <v/>
      </c>
    </row>
    <row r="100">
      <c r="A100" s="3">
        <f>IF(C100="","","PO-"&amp;TEXT(ROW()-1,"0000"))</f>
        <v/>
      </c>
      <c r="D100" s="3">
        <f>IF(C100="","",IFERROR(VLOOKUP(C100,Suppliers!A:B,2,FALSE),""))</f>
        <v/>
      </c>
      <c r="I100" s="4" t="n"/>
      <c r="J100" s="5">
        <f>IF(OR(H100="",I100=""),"",ROUND(H100*I100,2))</f>
        <v/>
      </c>
      <c r="M100" s="4" t="n"/>
      <c r="N100" s="5">
        <f>IF(OR(L100="",M100=""),"",ROUND(L100*M100,2))</f>
        <v/>
      </c>
      <c r="Q100" s="4" t="n"/>
      <c r="R100" s="5">
        <f>IF(OR(P100="",Q100=""),"",ROUND(P100*Q100,2))</f>
        <v/>
      </c>
      <c r="S100" s="5">
        <f>IF(C100="","",SUM(J100,N100,R100))</f>
        <v/>
      </c>
      <c r="T100" s="5">
        <f>IF(C100="","",ROUND(S100*Settings!$B$2,2))</f>
        <v/>
      </c>
      <c r="U100" s="5">
        <f>IF(C100="","",S100+T100)</f>
        <v/>
      </c>
    </row>
    <row r="101">
      <c r="A101" s="3">
        <f>IF(C101="","","PO-"&amp;TEXT(ROW()-1,"0000"))</f>
        <v/>
      </c>
      <c r="D101" s="3">
        <f>IF(C101="","",IFERROR(VLOOKUP(C101,Suppliers!A:B,2,FALSE),""))</f>
        <v/>
      </c>
      <c r="I101" s="4" t="n"/>
      <c r="J101" s="5">
        <f>IF(OR(H101="",I101=""),"",ROUND(H101*I101,2))</f>
        <v/>
      </c>
      <c r="M101" s="4" t="n"/>
      <c r="N101" s="5">
        <f>IF(OR(L101="",M101=""),"",ROUND(L101*M101,2))</f>
        <v/>
      </c>
      <c r="Q101" s="4" t="n"/>
      <c r="R101" s="5">
        <f>IF(OR(P101="",Q101=""),"",ROUND(P101*Q101,2))</f>
        <v/>
      </c>
      <c r="S101" s="5">
        <f>IF(C101="","",SUM(J101,N101,R101))</f>
        <v/>
      </c>
      <c r="T101" s="5">
        <f>IF(C101="","",ROUND(S101*Settings!$B$2,2))</f>
        <v/>
      </c>
      <c r="U101" s="5">
        <f>IF(C101="","",S101+T101)</f>
        <v/>
      </c>
    </row>
    <row r="102">
      <c r="A102" s="3">
        <f>IF(C102="","","PO-"&amp;TEXT(ROW()-1,"0000"))</f>
        <v/>
      </c>
      <c r="D102" s="3">
        <f>IF(C102="","",IFERROR(VLOOKUP(C102,Suppliers!A:B,2,FALSE),""))</f>
        <v/>
      </c>
      <c r="I102" s="4" t="n"/>
      <c r="J102" s="5">
        <f>IF(OR(H102="",I102=""),"",ROUND(H102*I102,2))</f>
        <v/>
      </c>
      <c r="M102" s="4" t="n"/>
      <c r="N102" s="5">
        <f>IF(OR(L102="",M102=""),"",ROUND(L102*M102,2))</f>
        <v/>
      </c>
      <c r="Q102" s="4" t="n"/>
      <c r="R102" s="5">
        <f>IF(OR(P102="",Q102=""),"",ROUND(P102*Q102,2))</f>
        <v/>
      </c>
      <c r="S102" s="5">
        <f>IF(C102="","",SUM(J102,N102,R102))</f>
        <v/>
      </c>
      <c r="T102" s="5">
        <f>IF(C102="","",ROUND(S102*Settings!$B$2,2))</f>
        <v/>
      </c>
      <c r="U102" s="5">
        <f>IF(C102="","",S102+T102)</f>
        <v/>
      </c>
    </row>
    <row r="103">
      <c r="A103" s="3">
        <f>IF(C103="","","PO-"&amp;TEXT(ROW()-1,"0000"))</f>
        <v/>
      </c>
      <c r="D103" s="3">
        <f>IF(C103="","",IFERROR(VLOOKUP(C103,Suppliers!A:B,2,FALSE),""))</f>
        <v/>
      </c>
      <c r="I103" s="4" t="n"/>
      <c r="J103" s="5">
        <f>IF(OR(H103="",I103=""),"",ROUND(H103*I103,2))</f>
        <v/>
      </c>
      <c r="M103" s="4" t="n"/>
      <c r="N103" s="5">
        <f>IF(OR(L103="",M103=""),"",ROUND(L103*M103,2))</f>
        <v/>
      </c>
      <c r="Q103" s="4" t="n"/>
      <c r="R103" s="5">
        <f>IF(OR(P103="",Q103=""),"",ROUND(P103*Q103,2))</f>
        <v/>
      </c>
      <c r="S103" s="5">
        <f>IF(C103="","",SUM(J103,N103,R103))</f>
        <v/>
      </c>
      <c r="T103" s="5">
        <f>IF(C103="","",ROUND(S103*Settings!$B$2,2))</f>
        <v/>
      </c>
      <c r="U103" s="5">
        <f>IF(C103="","",S103+T103)</f>
        <v/>
      </c>
    </row>
    <row r="104">
      <c r="A104" s="3">
        <f>IF(C104="","","PO-"&amp;TEXT(ROW()-1,"0000"))</f>
        <v/>
      </c>
      <c r="D104" s="3">
        <f>IF(C104="","",IFERROR(VLOOKUP(C104,Suppliers!A:B,2,FALSE),""))</f>
        <v/>
      </c>
      <c r="I104" s="4" t="n"/>
      <c r="J104" s="5">
        <f>IF(OR(H104="",I104=""),"",ROUND(H104*I104,2))</f>
        <v/>
      </c>
      <c r="M104" s="4" t="n"/>
      <c r="N104" s="5">
        <f>IF(OR(L104="",M104=""),"",ROUND(L104*M104,2))</f>
        <v/>
      </c>
      <c r="Q104" s="4" t="n"/>
      <c r="R104" s="5">
        <f>IF(OR(P104="",Q104=""),"",ROUND(P104*Q104,2))</f>
        <v/>
      </c>
      <c r="S104" s="5">
        <f>IF(C104="","",SUM(J104,N104,R104))</f>
        <v/>
      </c>
      <c r="T104" s="5">
        <f>IF(C104="","",ROUND(S104*Settings!$B$2,2))</f>
        <v/>
      </c>
      <c r="U104" s="5">
        <f>IF(C104="","",S104+T104)</f>
        <v/>
      </c>
    </row>
    <row r="105">
      <c r="A105" s="3">
        <f>IF(C105="","","PO-"&amp;TEXT(ROW()-1,"0000"))</f>
        <v/>
      </c>
      <c r="D105" s="3">
        <f>IF(C105="","",IFERROR(VLOOKUP(C105,Suppliers!A:B,2,FALSE),""))</f>
        <v/>
      </c>
      <c r="I105" s="4" t="n"/>
      <c r="J105" s="5">
        <f>IF(OR(H105="",I105=""),"",ROUND(H105*I105,2))</f>
        <v/>
      </c>
      <c r="M105" s="4" t="n"/>
      <c r="N105" s="5">
        <f>IF(OR(L105="",M105=""),"",ROUND(L105*M105,2))</f>
        <v/>
      </c>
      <c r="Q105" s="4" t="n"/>
      <c r="R105" s="5">
        <f>IF(OR(P105="",Q105=""),"",ROUND(P105*Q105,2))</f>
        <v/>
      </c>
      <c r="S105" s="5">
        <f>IF(C105="","",SUM(J105,N105,R105))</f>
        <v/>
      </c>
      <c r="T105" s="5">
        <f>IF(C105="","",ROUND(S105*Settings!$B$2,2))</f>
        <v/>
      </c>
      <c r="U105" s="5">
        <f>IF(C105="","",S105+T105)</f>
        <v/>
      </c>
    </row>
    <row r="106">
      <c r="A106" s="3">
        <f>IF(C106="","","PO-"&amp;TEXT(ROW()-1,"0000"))</f>
        <v/>
      </c>
      <c r="D106" s="3">
        <f>IF(C106="","",IFERROR(VLOOKUP(C106,Suppliers!A:B,2,FALSE),""))</f>
        <v/>
      </c>
      <c r="I106" s="4" t="n"/>
      <c r="J106" s="5">
        <f>IF(OR(H106="",I106=""),"",ROUND(H106*I106,2))</f>
        <v/>
      </c>
      <c r="M106" s="4" t="n"/>
      <c r="N106" s="5">
        <f>IF(OR(L106="",M106=""),"",ROUND(L106*M106,2))</f>
        <v/>
      </c>
      <c r="Q106" s="4" t="n"/>
      <c r="R106" s="5">
        <f>IF(OR(P106="",Q106=""),"",ROUND(P106*Q106,2))</f>
        <v/>
      </c>
      <c r="S106" s="5">
        <f>IF(C106="","",SUM(J106,N106,R106))</f>
        <v/>
      </c>
      <c r="T106" s="5">
        <f>IF(C106="","",ROUND(S106*Settings!$B$2,2))</f>
        <v/>
      </c>
      <c r="U106" s="5">
        <f>IF(C106="","",S106+T106)</f>
        <v/>
      </c>
    </row>
    <row r="107">
      <c r="A107" s="3">
        <f>IF(C107="","","PO-"&amp;TEXT(ROW()-1,"0000"))</f>
        <v/>
      </c>
      <c r="D107" s="3">
        <f>IF(C107="","",IFERROR(VLOOKUP(C107,Suppliers!A:B,2,FALSE),""))</f>
        <v/>
      </c>
      <c r="I107" s="4" t="n"/>
      <c r="J107" s="5">
        <f>IF(OR(H107="",I107=""),"",ROUND(H107*I107,2))</f>
        <v/>
      </c>
      <c r="M107" s="4" t="n"/>
      <c r="N107" s="5">
        <f>IF(OR(L107="",M107=""),"",ROUND(L107*M107,2))</f>
        <v/>
      </c>
      <c r="Q107" s="4" t="n"/>
      <c r="R107" s="5">
        <f>IF(OR(P107="",Q107=""),"",ROUND(P107*Q107,2))</f>
        <v/>
      </c>
      <c r="S107" s="5">
        <f>IF(C107="","",SUM(J107,N107,R107))</f>
        <v/>
      </c>
      <c r="T107" s="5">
        <f>IF(C107="","",ROUND(S107*Settings!$B$2,2))</f>
        <v/>
      </c>
      <c r="U107" s="5">
        <f>IF(C107="","",S107+T107)</f>
        <v/>
      </c>
    </row>
    <row r="108">
      <c r="A108" s="3">
        <f>IF(C108="","","PO-"&amp;TEXT(ROW()-1,"0000"))</f>
        <v/>
      </c>
      <c r="D108" s="3">
        <f>IF(C108="","",IFERROR(VLOOKUP(C108,Suppliers!A:B,2,FALSE),""))</f>
        <v/>
      </c>
      <c r="I108" s="4" t="n"/>
      <c r="J108" s="5">
        <f>IF(OR(H108="",I108=""),"",ROUND(H108*I108,2))</f>
        <v/>
      </c>
      <c r="M108" s="4" t="n"/>
      <c r="N108" s="5">
        <f>IF(OR(L108="",M108=""),"",ROUND(L108*M108,2))</f>
        <v/>
      </c>
      <c r="Q108" s="4" t="n"/>
      <c r="R108" s="5">
        <f>IF(OR(P108="",Q108=""),"",ROUND(P108*Q108,2))</f>
        <v/>
      </c>
      <c r="S108" s="5">
        <f>IF(C108="","",SUM(J108,N108,R108))</f>
        <v/>
      </c>
      <c r="T108" s="5">
        <f>IF(C108="","",ROUND(S108*Settings!$B$2,2))</f>
        <v/>
      </c>
      <c r="U108" s="5">
        <f>IF(C108="","",S108+T108)</f>
        <v/>
      </c>
    </row>
    <row r="109">
      <c r="A109" s="3">
        <f>IF(C109="","","PO-"&amp;TEXT(ROW()-1,"0000"))</f>
        <v/>
      </c>
      <c r="D109" s="3">
        <f>IF(C109="","",IFERROR(VLOOKUP(C109,Suppliers!A:B,2,FALSE),""))</f>
        <v/>
      </c>
      <c r="I109" s="4" t="n"/>
      <c r="J109" s="5">
        <f>IF(OR(H109="",I109=""),"",ROUND(H109*I109,2))</f>
        <v/>
      </c>
      <c r="M109" s="4" t="n"/>
      <c r="N109" s="5">
        <f>IF(OR(L109="",M109=""),"",ROUND(L109*M109,2))</f>
        <v/>
      </c>
      <c r="Q109" s="4" t="n"/>
      <c r="R109" s="5">
        <f>IF(OR(P109="",Q109=""),"",ROUND(P109*Q109,2))</f>
        <v/>
      </c>
      <c r="S109" s="5">
        <f>IF(C109="","",SUM(J109,N109,R109))</f>
        <v/>
      </c>
      <c r="T109" s="5">
        <f>IF(C109="","",ROUND(S109*Settings!$B$2,2))</f>
        <v/>
      </c>
      <c r="U109" s="5">
        <f>IF(C109="","",S109+T109)</f>
        <v/>
      </c>
    </row>
    <row r="110">
      <c r="A110" s="3">
        <f>IF(C110="","","PO-"&amp;TEXT(ROW()-1,"0000"))</f>
        <v/>
      </c>
      <c r="D110" s="3">
        <f>IF(C110="","",IFERROR(VLOOKUP(C110,Suppliers!A:B,2,FALSE),""))</f>
        <v/>
      </c>
      <c r="I110" s="4" t="n"/>
      <c r="J110" s="5">
        <f>IF(OR(H110="",I110=""),"",ROUND(H110*I110,2))</f>
        <v/>
      </c>
      <c r="M110" s="4" t="n"/>
      <c r="N110" s="5">
        <f>IF(OR(L110="",M110=""),"",ROUND(L110*M110,2))</f>
        <v/>
      </c>
      <c r="Q110" s="4" t="n"/>
      <c r="R110" s="5">
        <f>IF(OR(P110="",Q110=""),"",ROUND(P110*Q110,2))</f>
        <v/>
      </c>
      <c r="S110" s="5">
        <f>IF(C110="","",SUM(J110,N110,R110))</f>
        <v/>
      </c>
      <c r="T110" s="5">
        <f>IF(C110="","",ROUND(S110*Settings!$B$2,2))</f>
        <v/>
      </c>
      <c r="U110" s="5">
        <f>IF(C110="","",S110+T110)</f>
        <v/>
      </c>
    </row>
    <row r="111">
      <c r="A111" s="3">
        <f>IF(C111="","","PO-"&amp;TEXT(ROW()-1,"0000"))</f>
        <v/>
      </c>
      <c r="D111" s="3">
        <f>IF(C111="","",IFERROR(VLOOKUP(C111,Suppliers!A:B,2,FALSE),""))</f>
        <v/>
      </c>
      <c r="I111" s="4" t="n"/>
      <c r="J111" s="5">
        <f>IF(OR(H111="",I111=""),"",ROUND(H111*I111,2))</f>
        <v/>
      </c>
      <c r="M111" s="4" t="n"/>
      <c r="N111" s="5">
        <f>IF(OR(L111="",M111=""),"",ROUND(L111*M111,2))</f>
        <v/>
      </c>
      <c r="Q111" s="4" t="n"/>
      <c r="R111" s="5">
        <f>IF(OR(P111="",Q111=""),"",ROUND(P111*Q111,2))</f>
        <v/>
      </c>
      <c r="S111" s="5">
        <f>IF(C111="","",SUM(J111,N111,R111))</f>
        <v/>
      </c>
      <c r="T111" s="5">
        <f>IF(C111="","",ROUND(S111*Settings!$B$2,2))</f>
        <v/>
      </c>
      <c r="U111" s="5">
        <f>IF(C111="","",S111+T111)</f>
        <v/>
      </c>
    </row>
    <row r="112">
      <c r="A112" s="3">
        <f>IF(C112="","","PO-"&amp;TEXT(ROW()-1,"0000"))</f>
        <v/>
      </c>
      <c r="D112" s="3">
        <f>IF(C112="","",IFERROR(VLOOKUP(C112,Suppliers!A:B,2,FALSE),""))</f>
        <v/>
      </c>
      <c r="I112" s="4" t="n"/>
      <c r="J112" s="5">
        <f>IF(OR(H112="",I112=""),"",ROUND(H112*I112,2))</f>
        <v/>
      </c>
      <c r="M112" s="4" t="n"/>
      <c r="N112" s="5">
        <f>IF(OR(L112="",M112=""),"",ROUND(L112*M112,2))</f>
        <v/>
      </c>
      <c r="Q112" s="4" t="n"/>
      <c r="R112" s="5">
        <f>IF(OR(P112="",Q112=""),"",ROUND(P112*Q112,2))</f>
        <v/>
      </c>
      <c r="S112" s="5">
        <f>IF(C112="","",SUM(J112,N112,R112))</f>
        <v/>
      </c>
      <c r="T112" s="5">
        <f>IF(C112="","",ROUND(S112*Settings!$B$2,2))</f>
        <v/>
      </c>
      <c r="U112" s="5">
        <f>IF(C112="","",S112+T112)</f>
        <v/>
      </c>
    </row>
    <row r="113">
      <c r="A113" s="3">
        <f>IF(C113="","","PO-"&amp;TEXT(ROW()-1,"0000"))</f>
        <v/>
      </c>
      <c r="D113" s="3">
        <f>IF(C113="","",IFERROR(VLOOKUP(C113,Suppliers!A:B,2,FALSE),""))</f>
        <v/>
      </c>
      <c r="I113" s="4" t="n"/>
      <c r="J113" s="5">
        <f>IF(OR(H113="",I113=""),"",ROUND(H113*I113,2))</f>
        <v/>
      </c>
      <c r="M113" s="4" t="n"/>
      <c r="N113" s="5">
        <f>IF(OR(L113="",M113=""),"",ROUND(L113*M113,2))</f>
        <v/>
      </c>
      <c r="Q113" s="4" t="n"/>
      <c r="R113" s="5">
        <f>IF(OR(P113="",Q113=""),"",ROUND(P113*Q113,2))</f>
        <v/>
      </c>
      <c r="S113" s="5">
        <f>IF(C113="","",SUM(J113,N113,R113))</f>
        <v/>
      </c>
      <c r="T113" s="5">
        <f>IF(C113="","",ROUND(S113*Settings!$B$2,2))</f>
        <v/>
      </c>
      <c r="U113" s="5">
        <f>IF(C113="","",S113+T113)</f>
        <v/>
      </c>
    </row>
    <row r="114">
      <c r="A114" s="3">
        <f>IF(C114="","","PO-"&amp;TEXT(ROW()-1,"0000"))</f>
        <v/>
      </c>
      <c r="D114" s="3">
        <f>IF(C114="","",IFERROR(VLOOKUP(C114,Suppliers!A:B,2,FALSE),""))</f>
        <v/>
      </c>
      <c r="I114" s="4" t="n"/>
      <c r="J114" s="5">
        <f>IF(OR(H114="",I114=""),"",ROUND(H114*I114,2))</f>
        <v/>
      </c>
      <c r="M114" s="4" t="n"/>
      <c r="N114" s="5">
        <f>IF(OR(L114="",M114=""),"",ROUND(L114*M114,2))</f>
        <v/>
      </c>
      <c r="Q114" s="4" t="n"/>
      <c r="R114" s="5">
        <f>IF(OR(P114="",Q114=""),"",ROUND(P114*Q114,2))</f>
        <v/>
      </c>
      <c r="S114" s="5">
        <f>IF(C114="","",SUM(J114,N114,R114))</f>
        <v/>
      </c>
      <c r="T114" s="5">
        <f>IF(C114="","",ROUND(S114*Settings!$B$2,2))</f>
        <v/>
      </c>
      <c r="U114" s="5">
        <f>IF(C114="","",S114+T114)</f>
        <v/>
      </c>
    </row>
    <row r="115">
      <c r="A115" s="3">
        <f>IF(C115="","","PO-"&amp;TEXT(ROW()-1,"0000"))</f>
        <v/>
      </c>
      <c r="D115" s="3">
        <f>IF(C115="","",IFERROR(VLOOKUP(C115,Suppliers!A:B,2,FALSE),""))</f>
        <v/>
      </c>
      <c r="I115" s="4" t="n"/>
      <c r="J115" s="5">
        <f>IF(OR(H115="",I115=""),"",ROUND(H115*I115,2))</f>
        <v/>
      </c>
      <c r="M115" s="4" t="n"/>
      <c r="N115" s="5">
        <f>IF(OR(L115="",M115=""),"",ROUND(L115*M115,2))</f>
        <v/>
      </c>
      <c r="Q115" s="4" t="n"/>
      <c r="R115" s="5">
        <f>IF(OR(P115="",Q115=""),"",ROUND(P115*Q115,2))</f>
        <v/>
      </c>
      <c r="S115" s="5">
        <f>IF(C115="","",SUM(J115,N115,R115))</f>
        <v/>
      </c>
      <c r="T115" s="5">
        <f>IF(C115="","",ROUND(S115*Settings!$B$2,2))</f>
        <v/>
      </c>
      <c r="U115" s="5">
        <f>IF(C115="","",S115+T115)</f>
        <v/>
      </c>
    </row>
    <row r="116">
      <c r="A116" s="3">
        <f>IF(C116="","","PO-"&amp;TEXT(ROW()-1,"0000"))</f>
        <v/>
      </c>
      <c r="D116" s="3">
        <f>IF(C116="","",IFERROR(VLOOKUP(C116,Suppliers!A:B,2,FALSE),""))</f>
        <v/>
      </c>
      <c r="I116" s="4" t="n"/>
      <c r="J116" s="5">
        <f>IF(OR(H116="",I116=""),"",ROUND(H116*I116,2))</f>
        <v/>
      </c>
      <c r="M116" s="4" t="n"/>
      <c r="N116" s="5">
        <f>IF(OR(L116="",M116=""),"",ROUND(L116*M116,2))</f>
        <v/>
      </c>
      <c r="Q116" s="4" t="n"/>
      <c r="R116" s="5">
        <f>IF(OR(P116="",Q116=""),"",ROUND(P116*Q116,2))</f>
        <v/>
      </c>
      <c r="S116" s="5">
        <f>IF(C116="","",SUM(J116,N116,R116))</f>
        <v/>
      </c>
      <c r="T116" s="5">
        <f>IF(C116="","",ROUND(S116*Settings!$B$2,2))</f>
        <v/>
      </c>
      <c r="U116" s="5">
        <f>IF(C116="","",S116+T116)</f>
        <v/>
      </c>
    </row>
    <row r="117">
      <c r="A117" s="3">
        <f>IF(C117="","","PO-"&amp;TEXT(ROW()-1,"0000"))</f>
        <v/>
      </c>
      <c r="D117" s="3">
        <f>IF(C117="","",IFERROR(VLOOKUP(C117,Suppliers!A:B,2,FALSE),""))</f>
        <v/>
      </c>
      <c r="I117" s="4" t="n"/>
      <c r="J117" s="5">
        <f>IF(OR(H117="",I117=""),"",ROUND(H117*I117,2))</f>
        <v/>
      </c>
      <c r="M117" s="4" t="n"/>
      <c r="N117" s="5">
        <f>IF(OR(L117="",M117=""),"",ROUND(L117*M117,2))</f>
        <v/>
      </c>
      <c r="Q117" s="4" t="n"/>
      <c r="R117" s="5">
        <f>IF(OR(P117="",Q117=""),"",ROUND(P117*Q117,2))</f>
        <v/>
      </c>
      <c r="S117" s="5">
        <f>IF(C117="","",SUM(J117,N117,R117))</f>
        <v/>
      </c>
      <c r="T117" s="5">
        <f>IF(C117="","",ROUND(S117*Settings!$B$2,2))</f>
        <v/>
      </c>
      <c r="U117" s="5">
        <f>IF(C117="","",S117+T117)</f>
        <v/>
      </c>
    </row>
    <row r="118">
      <c r="A118" s="3">
        <f>IF(C118="","","PO-"&amp;TEXT(ROW()-1,"0000"))</f>
        <v/>
      </c>
      <c r="D118" s="3">
        <f>IF(C118="","",IFERROR(VLOOKUP(C118,Suppliers!A:B,2,FALSE),""))</f>
        <v/>
      </c>
      <c r="I118" s="4" t="n"/>
      <c r="J118" s="5">
        <f>IF(OR(H118="",I118=""),"",ROUND(H118*I118,2))</f>
        <v/>
      </c>
      <c r="M118" s="4" t="n"/>
      <c r="N118" s="5">
        <f>IF(OR(L118="",M118=""),"",ROUND(L118*M118,2))</f>
        <v/>
      </c>
      <c r="Q118" s="4" t="n"/>
      <c r="R118" s="5">
        <f>IF(OR(P118="",Q118=""),"",ROUND(P118*Q118,2))</f>
        <v/>
      </c>
      <c r="S118" s="5">
        <f>IF(C118="","",SUM(J118,N118,R118))</f>
        <v/>
      </c>
      <c r="T118" s="5">
        <f>IF(C118="","",ROUND(S118*Settings!$B$2,2))</f>
        <v/>
      </c>
      <c r="U118" s="5">
        <f>IF(C118="","",S118+T118)</f>
        <v/>
      </c>
    </row>
    <row r="119">
      <c r="A119" s="3">
        <f>IF(C119="","","PO-"&amp;TEXT(ROW()-1,"0000"))</f>
        <v/>
      </c>
      <c r="D119" s="3">
        <f>IF(C119="","",IFERROR(VLOOKUP(C119,Suppliers!A:B,2,FALSE),""))</f>
        <v/>
      </c>
      <c r="I119" s="4" t="n"/>
      <c r="J119" s="5">
        <f>IF(OR(H119="",I119=""),"",ROUND(H119*I119,2))</f>
        <v/>
      </c>
      <c r="M119" s="4" t="n"/>
      <c r="N119" s="5">
        <f>IF(OR(L119="",M119=""),"",ROUND(L119*M119,2))</f>
        <v/>
      </c>
      <c r="Q119" s="4" t="n"/>
      <c r="R119" s="5">
        <f>IF(OR(P119="",Q119=""),"",ROUND(P119*Q119,2))</f>
        <v/>
      </c>
      <c r="S119" s="5">
        <f>IF(C119="","",SUM(J119,N119,R119))</f>
        <v/>
      </c>
      <c r="T119" s="5">
        <f>IF(C119="","",ROUND(S119*Settings!$B$2,2))</f>
        <v/>
      </c>
      <c r="U119" s="5">
        <f>IF(C119="","",S119+T119)</f>
        <v/>
      </c>
    </row>
    <row r="120">
      <c r="A120" s="3">
        <f>IF(C120="","","PO-"&amp;TEXT(ROW()-1,"0000"))</f>
        <v/>
      </c>
      <c r="D120" s="3">
        <f>IF(C120="","",IFERROR(VLOOKUP(C120,Suppliers!A:B,2,FALSE),""))</f>
        <v/>
      </c>
      <c r="I120" s="4" t="n"/>
      <c r="J120" s="5">
        <f>IF(OR(H120="",I120=""),"",ROUND(H120*I120,2))</f>
        <v/>
      </c>
      <c r="M120" s="4" t="n"/>
      <c r="N120" s="5">
        <f>IF(OR(L120="",M120=""),"",ROUND(L120*M120,2))</f>
        <v/>
      </c>
      <c r="Q120" s="4" t="n"/>
      <c r="R120" s="5">
        <f>IF(OR(P120="",Q120=""),"",ROUND(P120*Q120,2))</f>
        <v/>
      </c>
      <c r="S120" s="5">
        <f>IF(C120="","",SUM(J120,N120,R120))</f>
        <v/>
      </c>
      <c r="T120" s="5">
        <f>IF(C120="","",ROUND(S120*Settings!$B$2,2))</f>
        <v/>
      </c>
      <c r="U120" s="5">
        <f>IF(C120="","",S120+T120)</f>
        <v/>
      </c>
    </row>
    <row r="121">
      <c r="A121" s="3">
        <f>IF(C121="","","PO-"&amp;TEXT(ROW()-1,"0000"))</f>
        <v/>
      </c>
      <c r="D121" s="3">
        <f>IF(C121="","",IFERROR(VLOOKUP(C121,Suppliers!A:B,2,FALSE),""))</f>
        <v/>
      </c>
      <c r="I121" s="4" t="n"/>
      <c r="J121" s="5">
        <f>IF(OR(H121="",I121=""),"",ROUND(H121*I121,2))</f>
        <v/>
      </c>
      <c r="M121" s="4" t="n"/>
      <c r="N121" s="5">
        <f>IF(OR(L121="",M121=""),"",ROUND(L121*M121,2))</f>
        <v/>
      </c>
      <c r="Q121" s="4" t="n"/>
      <c r="R121" s="5">
        <f>IF(OR(P121="",Q121=""),"",ROUND(P121*Q121,2))</f>
        <v/>
      </c>
      <c r="S121" s="5">
        <f>IF(C121="","",SUM(J121,N121,R121))</f>
        <v/>
      </c>
      <c r="T121" s="5">
        <f>IF(C121="","",ROUND(S121*Settings!$B$2,2))</f>
        <v/>
      </c>
      <c r="U121" s="5">
        <f>IF(C121="","",S121+T121)</f>
        <v/>
      </c>
    </row>
    <row r="122">
      <c r="A122" s="3">
        <f>IF(C122="","","PO-"&amp;TEXT(ROW()-1,"0000"))</f>
        <v/>
      </c>
      <c r="D122" s="3">
        <f>IF(C122="","",IFERROR(VLOOKUP(C122,Suppliers!A:B,2,FALSE),""))</f>
        <v/>
      </c>
      <c r="I122" s="4" t="n"/>
      <c r="J122" s="5">
        <f>IF(OR(H122="",I122=""),"",ROUND(H122*I122,2))</f>
        <v/>
      </c>
      <c r="M122" s="4" t="n"/>
      <c r="N122" s="5">
        <f>IF(OR(L122="",M122=""),"",ROUND(L122*M122,2))</f>
        <v/>
      </c>
      <c r="Q122" s="4" t="n"/>
      <c r="R122" s="5">
        <f>IF(OR(P122="",Q122=""),"",ROUND(P122*Q122,2))</f>
        <v/>
      </c>
      <c r="S122" s="5">
        <f>IF(C122="","",SUM(J122,N122,R122))</f>
        <v/>
      </c>
      <c r="T122" s="5">
        <f>IF(C122="","",ROUND(S122*Settings!$B$2,2))</f>
        <v/>
      </c>
      <c r="U122" s="5">
        <f>IF(C122="","",S122+T122)</f>
        <v/>
      </c>
    </row>
    <row r="123">
      <c r="A123" s="3">
        <f>IF(C123="","","PO-"&amp;TEXT(ROW()-1,"0000"))</f>
        <v/>
      </c>
      <c r="D123" s="3">
        <f>IF(C123="","",IFERROR(VLOOKUP(C123,Suppliers!A:B,2,FALSE),""))</f>
        <v/>
      </c>
      <c r="I123" s="4" t="n"/>
      <c r="J123" s="5">
        <f>IF(OR(H123="",I123=""),"",ROUND(H123*I123,2))</f>
        <v/>
      </c>
      <c r="M123" s="4" t="n"/>
      <c r="N123" s="5">
        <f>IF(OR(L123="",M123=""),"",ROUND(L123*M123,2))</f>
        <v/>
      </c>
      <c r="Q123" s="4" t="n"/>
      <c r="R123" s="5">
        <f>IF(OR(P123="",Q123=""),"",ROUND(P123*Q123,2))</f>
        <v/>
      </c>
      <c r="S123" s="5">
        <f>IF(C123="","",SUM(J123,N123,R123))</f>
        <v/>
      </c>
      <c r="T123" s="5">
        <f>IF(C123="","",ROUND(S123*Settings!$B$2,2))</f>
        <v/>
      </c>
      <c r="U123" s="5">
        <f>IF(C123="","",S123+T123)</f>
        <v/>
      </c>
    </row>
    <row r="124">
      <c r="A124" s="3">
        <f>IF(C124="","","PO-"&amp;TEXT(ROW()-1,"0000"))</f>
        <v/>
      </c>
      <c r="D124" s="3">
        <f>IF(C124="","",IFERROR(VLOOKUP(C124,Suppliers!A:B,2,FALSE),""))</f>
        <v/>
      </c>
      <c r="I124" s="4" t="n"/>
      <c r="J124" s="5">
        <f>IF(OR(H124="",I124=""),"",ROUND(H124*I124,2))</f>
        <v/>
      </c>
      <c r="M124" s="4" t="n"/>
      <c r="N124" s="5">
        <f>IF(OR(L124="",M124=""),"",ROUND(L124*M124,2))</f>
        <v/>
      </c>
      <c r="Q124" s="4" t="n"/>
      <c r="R124" s="5">
        <f>IF(OR(P124="",Q124=""),"",ROUND(P124*Q124,2))</f>
        <v/>
      </c>
      <c r="S124" s="5">
        <f>IF(C124="","",SUM(J124,N124,R124))</f>
        <v/>
      </c>
      <c r="T124" s="5">
        <f>IF(C124="","",ROUND(S124*Settings!$B$2,2))</f>
        <v/>
      </c>
      <c r="U124" s="5">
        <f>IF(C124="","",S124+T124)</f>
        <v/>
      </c>
    </row>
    <row r="125">
      <c r="A125" s="3">
        <f>IF(C125="","","PO-"&amp;TEXT(ROW()-1,"0000"))</f>
        <v/>
      </c>
      <c r="D125" s="3">
        <f>IF(C125="","",IFERROR(VLOOKUP(C125,Suppliers!A:B,2,FALSE),""))</f>
        <v/>
      </c>
      <c r="I125" s="4" t="n"/>
      <c r="J125" s="5">
        <f>IF(OR(H125="",I125=""),"",ROUND(H125*I125,2))</f>
        <v/>
      </c>
      <c r="M125" s="4" t="n"/>
      <c r="N125" s="5">
        <f>IF(OR(L125="",M125=""),"",ROUND(L125*M125,2))</f>
        <v/>
      </c>
      <c r="Q125" s="4" t="n"/>
      <c r="R125" s="5">
        <f>IF(OR(P125="",Q125=""),"",ROUND(P125*Q125,2))</f>
        <v/>
      </c>
      <c r="S125" s="5">
        <f>IF(C125="","",SUM(J125,N125,R125))</f>
        <v/>
      </c>
      <c r="T125" s="5">
        <f>IF(C125="","",ROUND(S125*Settings!$B$2,2))</f>
        <v/>
      </c>
      <c r="U125" s="5">
        <f>IF(C125="","",S125+T125)</f>
        <v/>
      </c>
    </row>
    <row r="126">
      <c r="A126" s="3">
        <f>IF(C126="","","PO-"&amp;TEXT(ROW()-1,"0000"))</f>
        <v/>
      </c>
      <c r="D126" s="3">
        <f>IF(C126="","",IFERROR(VLOOKUP(C126,Suppliers!A:B,2,FALSE),""))</f>
        <v/>
      </c>
      <c r="I126" s="4" t="n"/>
      <c r="J126" s="5">
        <f>IF(OR(H126="",I126=""),"",ROUND(H126*I126,2))</f>
        <v/>
      </c>
      <c r="M126" s="4" t="n"/>
      <c r="N126" s="5">
        <f>IF(OR(L126="",M126=""),"",ROUND(L126*M126,2))</f>
        <v/>
      </c>
      <c r="Q126" s="4" t="n"/>
      <c r="R126" s="5">
        <f>IF(OR(P126="",Q126=""),"",ROUND(P126*Q126,2))</f>
        <v/>
      </c>
      <c r="S126" s="5">
        <f>IF(C126="","",SUM(J126,N126,R126))</f>
        <v/>
      </c>
      <c r="T126" s="5">
        <f>IF(C126="","",ROUND(S126*Settings!$B$2,2))</f>
        <v/>
      </c>
      <c r="U126" s="5">
        <f>IF(C126="","",S126+T126)</f>
        <v/>
      </c>
    </row>
    <row r="127">
      <c r="A127" s="3">
        <f>IF(C127="","","PO-"&amp;TEXT(ROW()-1,"0000"))</f>
        <v/>
      </c>
      <c r="D127" s="3">
        <f>IF(C127="","",IFERROR(VLOOKUP(C127,Suppliers!A:B,2,FALSE),""))</f>
        <v/>
      </c>
      <c r="I127" s="4" t="n"/>
      <c r="J127" s="5">
        <f>IF(OR(H127="",I127=""),"",ROUND(H127*I127,2))</f>
        <v/>
      </c>
      <c r="M127" s="4" t="n"/>
      <c r="N127" s="5">
        <f>IF(OR(L127="",M127=""),"",ROUND(L127*M127,2))</f>
        <v/>
      </c>
      <c r="Q127" s="4" t="n"/>
      <c r="R127" s="5">
        <f>IF(OR(P127="",Q127=""),"",ROUND(P127*Q127,2))</f>
        <v/>
      </c>
      <c r="S127" s="5">
        <f>IF(C127="","",SUM(J127,N127,R127))</f>
        <v/>
      </c>
      <c r="T127" s="5">
        <f>IF(C127="","",ROUND(S127*Settings!$B$2,2))</f>
        <v/>
      </c>
      <c r="U127" s="5">
        <f>IF(C127="","",S127+T127)</f>
        <v/>
      </c>
    </row>
    <row r="128">
      <c r="A128" s="3">
        <f>IF(C128="","","PO-"&amp;TEXT(ROW()-1,"0000"))</f>
        <v/>
      </c>
      <c r="D128" s="3">
        <f>IF(C128="","",IFERROR(VLOOKUP(C128,Suppliers!A:B,2,FALSE),""))</f>
        <v/>
      </c>
      <c r="I128" s="4" t="n"/>
      <c r="J128" s="5">
        <f>IF(OR(H128="",I128=""),"",ROUND(H128*I128,2))</f>
        <v/>
      </c>
      <c r="M128" s="4" t="n"/>
      <c r="N128" s="5">
        <f>IF(OR(L128="",M128=""),"",ROUND(L128*M128,2))</f>
        <v/>
      </c>
      <c r="Q128" s="4" t="n"/>
      <c r="R128" s="5">
        <f>IF(OR(P128="",Q128=""),"",ROUND(P128*Q128,2))</f>
        <v/>
      </c>
      <c r="S128" s="5">
        <f>IF(C128="","",SUM(J128,N128,R128))</f>
        <v/>
      </c>
      <c r="T128" s="5">
        <f>IF(C128="","",ROUND(S128*Settings!$B$2,2))</f>
        <v/>
      </c>
      <c r="U128" s="5">
        <f>IF(C128="","",S128+T128)</f>
        <v/>
      </c>
    </row>
    <row r="129">
      <c r="A129" s="3">
        <f>IF(C129="","","PO-"&amp;TEXT(ROW()-1,"0000"))</f>
        <v/>
      </c>
      <c r="D129" s="3">
        <f>IF(C129="","",IFERROR(VLOOKUP(C129,Suppliers!A:B,2,FALSE),""))</f>
        <v/>
      </c>
      <c r="I129" s="4" t="n"/>
      <c r="J129" s="5">
        <f>IF(OR(H129="",I129=""),"",ROUND(H129*I129,2))</f>
        <v/>
      </c>
      <c r="M129" s="4" t="n"/>
      <c r="N129" s="5">
        <f>IF(OR(L129="",M129=""),"",ROUND(L129*M129,2))</f>
        <v/>
      </c>
      <c r="Q129" s="4" t="n"/>
      <c r="R129" s="5">
        <f>IF(OR(P129="",Q129=""),"",ROUND(P129*Q129,2))</f>
        <v/>
      </c>
      <c r="S129" s="5">
        <f>IF(C129="","",SUM(J129,N129,R129))</f>
        <v/>
      </c>
      <c r="T129" s="5">
        <f>IF(C129="","",ROUND(S129*Settings!$B$2,2))</f>
        <v/>
      </c>
      <c r="U129" s="5">
        <f>IF(C129="","",S129+T129)</f>
        <v/>
      </c>
    </row>
    <row r="130">
      <c r="A130" s="3">
        <f>IF(C130="","","PO-"&amp;TEXT(ROW()-1,"0000"))</f>
        <v/>
      </c>
      <c r="D130" s="3">
        <f>IF(C130="","",IFERROR(VLOOKUP(C130,Suppliers!A:B,2,FALSE),""))</f>
        <v/>
      </c>
      <c r="I130" s="4" t="n"/>
      <c r="J130" s="5">
        <f>IF(OR(H130="",I130=""),"",ROUND(H130*I130,2))</f>
        <v/>
      </c>
      <c r="M130" s="4" t="n"/>
      <c r="N130" s="5">
        <f>IF(OR(L130="",M130=""),"",ROUND(L130*M130,2))</f>
        <v/>
      </c>
      <c r="Q130" s="4" t="n"/>
      <c r="R130" s="5">
        <f>IF(OR(P130="",Q130=""),"",ROUND(P130*Q130,2))</f>
        <v/>
      </c>
      <c r="S130" s="5">
        <f>IF(C130="","",SUM(J130,N130,R130))</f>
        <v/>
      </c>
      <c r="T130" s="5">
        <f>IF(C130="","",ROUND(S130*Settings!$B$2,2))</f>
        <v/>
      </c>
      <c r="U130" s="5">
        <f>IF(C130="","",S130+T130)</f>
        <v/>
      </c>
    </row>
    <row r="131">
      <c r="A131" s="3">
        <f>IF(C131="","","PO-"&amp;TEXT(ROW()-1,"0000"))</f>
        <v/>
      </c>
      <c r="D131" s="3">
        <f>IF(C131="","",IFERROR(VLOOKUP(C131,Suppliers!A:B,2,FALSE),""))</f>
        <v/>
      </c>
      <c r="I131" s="4" t="n"/>
      <c r="J131" s="5">
        <f>IF(OR(H131="",I131=""),"",ROUND(H131*I131,2))</f>
        <v/>
      </c>
      <c r="M131" s="4" t="n"/>
      <c r="N131" s="5">
        <f>IF(OR(L131="",M131=""),"",ROUND(L131*M131,2))</f>
        <v/>
      </c>
      <c r="Q131" s="4" t="n"/>
      <c r="R131" s="5">
        <f>IF(OR(P131="",Q131=""),"",ROUND(P131*Q131,2))</f>
        <v/>
      </c>
      <c r="S131" s="5">
        <f>IF(C131="","",SUM(J131,N131,R131))</f>
        <v/>
      </c>
      <c r="T131" s="5">
        <f>IF(C131="","",ROUND(S131*Settings!$B$2,2))</f>
        <v/>
      </c>
      <c r="U131" s="5">
        <f>IF(C131="","",S131+T131)</f>
        <v/>
      </c>
    </row>
    <row r="132">
      <c r="A132" s="3">
        <f>IF(C132="","","PO-"&amp;TEXT(ROW()-1,"0000"))</f>
        <v/>
      </c>
      <c r="D132" s="3">
        <f>IF(C132="","",IFERROR(VLOOKUP(C132,Suppliers!A:B,2,FALSE),""))</f>
        <v/>
      </c>
      <c r="I132" s="4" t="n"/>
      <c r="J132" s="5">
        <f>IF(OR(H132="",I132=""),"",ROUND(H132*I132,2))</f>
        <v/>
      </c>
      <c r="M132" s="4" t="n"/>
      <c r="N132" s="5">
        <f>IF(OR(L132="",M132=""),"",ROUND(L132*M132,2))</f>
        <v/>
      </c>
      <c r="Q132" s="4" t="n"/>
      <c r="R132" s="5">
        <f>IF(OR(P132="",Q132=""),"",ROUND(P132*Q132,2))</f>
        <v/>
      </c>
      <c r="S132" s="5">
        <f>IF(C132="","",SUM(J132,N132,R132))</f>
        <v/>
      </c>
      <c r="T132" s="5">
        <f>IF(C132="","",ROUND(S132*Settings!$B$2,2))</f>
        <v/>
      </c>
      <c r="U132" s="5">
        <f>IF(C132="","",S132+T132)</f>
        <v/>
      </c>
    </row>
    <row r="133">
      <c r="A133" s="3">
        <f>IF(C133="","","PO-"&amp;TEXT(ROW()-1,"0000"))</f>
        <v/>
      </c>
      <c r="D133" s="3">
        <f>IF(C133="","",IFERROR(VLOOKUP(C133,Suppliers!A:B,2,FALSE),""))</f>
        <v/>
      </c>
      <c r="I133" s="4" t="n"/>
      <c r="J133" s="5">
        <f>IF(OR(H133="",I133=""),"",ROUND(H133*I133,2))</f>
        <v/>
      </c>
      <c r="M133" s="4" t="n"/>
      <c r="N133" s="5">
        <f>IF(OR(L133="",M133=""),"",ROUND(L133*M133,2))</f>
        <v/>
      </c>
      <c r="Q133" s="4" t="n"/>
      <c r="R133" s="5">
        <f>IF(OR(P133="",Q133=""),"",ROUND(P133*Q133,2))</f>
        <v/>
      </c>
      <c r="S133" s="5">
        <f>IF(C133="","",SUM(J133,N133,R133))</f>
        <v/>
      </c>
      <c r="T133" s="5">
        <f>IF(C133="","",ROUND(S133*Settings!$B$2,2))</f>
        <v/>
      </c>
      <c r="U133" s="5">
        <f>IF(C133="","",S133+T133)</f>
        <v/>
      </c>
    </row>
    <row r="134">
      <c r="A134" s="3">
        <f>IF(C134="","","PO-"&amp;TEXT(ROW()-1,"0000"))</f>
        <v/>
      </c>
      <c r="D134" s="3">
        <f>IF(C134="","",IFERROR(VLOOKUP(C134,Suppliers!A:B,2,FALSE),""))</f>
        <v/>
      </c>
      <c r="I134" s="4" t="n"/>
      <c r="J134" s="5">
        <f>IF(OR(H134="",I134=""),"",ROUND(H134*I134,2))</f>
        <v/>
      </c>
      <c r="M134" s="4" t="n"/>
      <c r="N134" s="5">
        <f>IF(OR(L134="",M134=""),"",ROUND(L134*M134,2))</f>
        <v/>
      </c>
      <c r="Q134" s="4" t="n"/>
      <c r="R134" s="5">
        <f>IF(OR(P134="",Q134=""),"",ROUND(P134*Q134,2))</f>
        <v/>
      </c>
      <c r="S134" s="5">
        <f>IF(C134="","",SUM(J134,N134,R134))</f>
        <v/>
      </c>
      <c r="T134" s="5">
        <f>IF(C134="","",ROUND(S134*Settings!$B$2,2))</f>
        <v/>
      </c>
      <c r="U134" s="5">
        <f>IF(C134="","",S134+T134)</f>
        <v/>
      </c>
    </row>
    <row r="135">
      <c r="A135" s="3">
        <f>IF(C135="","","PO-"&amp;TEXT(ROW()-1,"0000"))</f>
        <v/>
      </c>
      <c r="D135" s="3">
        <f>IF(C135="","",IFERROR(VLOOKUP(C135,Suppliers!A:B,2,FALSE),""))</f>
        <v/>
      </c>
      <c r="I135" s="4" t="n"/>
      <c r="J135" s="5">
        <f>IF(OR(H135="",I135=""),"",ROUND(H135*I135,2))</f>
        <v/>
      </c>
      <c r="M135" s="4" t="n"/>
      <c r="N135" s="5">
        <f>IF(OR(L135="",M135=""),"",ROUND(L135*M135,2))</f>
        <v/>
      </c>
      <c r="Q135" s="4" t="n"/>
      <c r="R135" s="5">
        <f>IF(OR(P135="",Q135=""),"",ROUND(P135*Q135,2))</f>
        <v/>
      </c>
      <c r="S135" s="5">
        <f>IF(C135="","",SUM(J135,N135,R135))</f>
        <v/>
      </c>
      <c r="T135" s="5">
        <f>IF(C135="","",ROUND(S135*Settings!$B$2,2))</f>
        <v/>
      </c>
      <c r="U135" s="5">
        <f>IF(C135="","",S135+T135)</f>
        <v/>
      </c>
    </row>
    <row r="136">
      <c r="A136" s="3">
        <f>IF(C136="","","PO-"&amp;TEXT(ROW()-1,"0000"))</f>
        <v/>
      </c>
      <c r="D136" s="3">
        <f>IF(C136="","",IFERROR(VLOOKUP(C136,Suppliers!A:B,2,FALSE),""))</f>
        <v/>
      </c>
      <c r="I136" s="4" t="n"/>
      <c r="J136" s="5">
        <f>IF(OR(H136="",I136=""),"",ROUND(H136*I136,2))</f>
        <v/>
      </c>
      <c r="M136" s="4" t="n"/>
      <c r="N136" s="5">
        <f>IF(OR(L136="",M136=""),"",ROUND(L136*M136,2))</f>
        <v/>
      </c>
      <c r="Q136" s="4" t="n"/>
      <c r="R136" s="5">
        <f>IF(OR(P136="",Q136=""),"",ROUND(P136*Q136,2))</f>
        <v/>
      </c>
      <c r="S136" s="5">
        <f>IF(C136="","",SUM(J136,N136,R136))</f>
        <v/>
      </c>
      <c r="T136" s="5">
        <f>IF(C136="","",ROUND(S136*Settings!$B$2,2))</f>
        <v/>
      </c>
      <c r="U136" s="5">
        <f>IF(C136="","",S136+T136)</f>
        <v/>
      </c>
    </row>
    <row r="137">
      <c r="A137" s="3">
        <f>IF(C137="","","PO-"&amp;TEXT(ROW()-1,"0000"))</f>
        <v/>
      </c>
      <c r="D137" s="3">
        <f>IF(C137="","",IFERROR(VLOOKUP(C137,Suppliers!A:B,2,FALSE),""))</f>
        <v/>
      </c>
      <c r="I137" s="4" t="n"/>
      <c r="J137" s="5">
        <f>IF(OR(H137="",I137=""),"",ROUND(H137*I137,2))</f>
        <v/>
      </c>
      <c r="M137" s="4" t="n"/>
      <c r="N137" s="5">
        <f>IF(OR(L137="",M137=""),"",ROUND(L137*M137,2))</f>
        <v/>
      </c>
      <c r="Q137" s="4" t="n"/>
      <c r="R137" s="5">
        <f>IF(OR(P137="",Q137=""),"",ROUND(P137*Q137,2))</f>
        <v/>
      </c>
      <c r="S137" s="5">
        <f>IF(C137="","",SUM(J137,N137,R137))</f>
        <v/>
      </c>
      <c r="T137" s="5">
        <f>IF(C137="","",ROUND(S137*Settings!$B$2,2))</f>
        <v/>
      </c>
      <c r="U137" s="5">
        <f>IF(C137="","",S137+T137)</f>
        <v/>
      </c>
    </row>
    <row r="138">
      <c r="A138" s="3">
        <f>IF(C138="","","PO-"&amp;TEXT(ROW()-1,"0000"))</f>
        <v/>
      </c>
      <c r="D138" s="3">
        <f>IF(C138="","",IFERROR(VLOOKUP(C138,Suppliers!A:B,2,FALSE),""))</f>
        <v/>
      </c>
      <c r="I138" s="4" t="n"/>
      <c r="J138" s="5">
        <f>IF(OR(H138="",I138=""),"",ROUND(H138*I138,2))</f>
        <v/>
      </c>
      <c r="M138" s="4" t="n"/>
      <c r="N138" s="5">
        <f>IF(OR(L138="",M138=""),"",ROUND(L138*M138,2))</f>
        <v/>
      </c>
      <c r="Q138" s="4" t="n"/>
      <c r="R138" s="5">
        <f>IF(OR(P138="",Q138=""),"",ROUND(P138*Q138,2))</f>
        <v/>
      </c>
      <c r="S138" s="5">
        <f>IF(C138="","",SUM(J138,N138,R138))</f>
        <v/>
      </c>
      <c r="T138" s="5">
        <f>IF(C138="","",ROUND(S138*Settings!$B$2,2))</f>
        <v/>
      </c>
      <c r="U138" s="5">
        <f>IF(C138="","",S138+T138)</f>
        <v/>
      </c>
    </row>
    <row r="139">
      <c r="A139" s="3">
        <f>IF(C139="","","PO-"&amp;TEXT(ROW()-1,"0000"))</f>
        <v/>
      </c>
      <c r="D139" s="3">
        <f>IF(C139="","",IFERROR(VLOOKUP(C139,Suppliers!A:B,2,FALSE),""))</f>
        <v/>
      </c>
      <c r="I139" s="4" t="n"/>
      <c r="J139" s="5">
        <f>IF(OR(H139="",I139=""),"",ROUND(H139*I139,2))</f>
        <v/>
      </c>
      <c r="M139" s="4" t="n"/>
      <c r="N139" s="5">
        <f>IF(OR(L139="",M139=""),"",ROUND(L139*M139,2))</f>
        <v/>
      </c>
      <c r="Q139" s="4" t="n"/>
      <c r="R139" s="5">
        <f>IF(OR(P139="",Q139=""),"",ROUND(P139*Q139,2))</f>
        <v/>
      </c>
      <c r="S139" s="5">
        <f>IF(C139="","",SUM(J139,N139,R139))</f>
        <v/>
      </c>
      <c r="T139" s="5">
        <f>IF(C139="","",ROUND(S139*Settings!$B$2,2))</f>
        <v/>
      </c>
      <c r="U139" s="5">
        <f>IF(C139="","",S139+T139)</f>
        <v/>
      </c>
    </row>
    <row r="140">
      <c r="A140" s="3">
        <f>IF(C140="","","PO-"&amp;TEXT(ROW()-1,"0000"))</f>
        <v/>
      </c>
      <c r="D140" s="3">
        <f>IF(C140="","",IFERROR(VLOOKUP(C140,Suppliers!A:B,2,FALSE),""))</f>
        <v/>
      </c>
      <c r="I140" s="4" t="n"/>
      <c r="J140" s="5">
        <f>IF(OR(H140="",I140=""),"",ROUND(H140*I140,2))</f>
        <v/>
      </c>
      <c r="M140" s="4" t="n"/>
      <c r="N140" s="5">
        <f>IF(OR(L140="",M140=""),"",ROUND(L140*M140,2))</f>
        <v/>
      </c>
      <c r="Q140" s="4" t="n"/>
      <c r="R140" s="5">
        <f>IF(OR(P140="",Q140=""),"",ROUND(P140*Q140,2))</f>
        <v/>
      </c>
      <c r="S140" s="5">
        <f>IF(C140="","",SUM(J140,N140,R140))</f>
        <v/>
      </c>
      <c r="T140" s="5">
        <f>IF(C140="","",ROUND(S140*Settings!$B$2,2))</f>
        <v/>
      </c>
      <c r="U140" s="5">
        <f>IF(C140="","",S140+T140)</f>
        <v/>
      </c>
    </row>
    <row r="141">
      <c r="A141" s="3">
        <f>IF(C141="","","PO-"&amp;TEXT(ROW()-1,"0000"))</f>
        <v/>
      </c>
      <c r="D141" s="3">
        <f>IF(C141="","",IFERROR(VLOOKUP(C141,Suppliers!A:B,2,FALSE),""))</f>
        <v/>
      </c>
      <c r="I141" s="4" t="n"/>
      <c r="J141" s="5">
        <f>IF(OR(H141="",I141=""),"",ROUND(H141*I141,2))</f>
        <v/>
      </c>
      <c r="M141" s="4" t="n"/>
      <c r="N141" s="5">
        <f>IF(OR(L141="",M141=""),"",ROUND(L141*M141,2))</f>
        <v/>
      </c>
      <c r="Q141" s="4" t="n"/>
      <c r="R141" s="5">
        <f>IF(OR(P141="",Q141=""),"",ROUND(P141*Q141,2))</f>
        <v/>
      </c>
      <c r="S141" s="5">
        <f>IF(C141="","",SUM(J141,N141,R141))</f>
        <v/>
      </c>
      <c r="T141" s="5">
        <f>IF(C141="","",ROUND(S141*Settings!$B$2,2))</f>
        <v/>
      </c>
      <c r="U141" s="5">
        <f>IF(C141="","",S141+T141)</f>
        <v/>
      </c>
    </row>
    <row r="142">
      <c r="A142" s="3">
        <f>IF(C142="","","PO-"&amp;TEXT(ROW()-1,"0000"))</f>
        <v/>
      </c>
      <c r="D142" s="3">
        <f>IF(C142="","",IFERROR(VLOOKUP(C142,Suppliers!A:B,2,FALSE),""))</f>
        <v/>
      </c>
      <c r="I142" s="4" t="n"/>
      <c r="J142" s="5">
        <f>IF(OR(H142="",I142=""),"",ROUND(H142*I142,2))</f>
        <v/>
      </c>
      <c r="M142" s="4" t="n"/>
      <c r="N142" s="5">
        <f>IF(OR(L142="",M142=""),"",ROUND(L142*M142,2))</f>
        <v/>
      </c>
      <c r="Q142" s="4" t="n"/>
      <c r="R142" s="5">
        <f>IF(OR(P142="",Q142=""),"",ROUND(P142*Q142,2))</f>
        <v/>
      </c>
      <c r="S142" s="5">
        <f>IF(C142="","",SUM(J142,N142,R142))</f>
        <v/>
      </c>
      <c r="T142" s="5">
        <f>IF(C142="","",ROUND(S142*Settings!$B$2,2))</f>
        <v/>
      </c>
      <c r="U142" s="5">
        <f>IF(C142="","",S142+T142)</f>
        <v/>
      </c>
    </row>
    <row r="143">
      <c r="A143" s="3">
        <f>IF(C143="","","PO-"&amp;TEXT(ROW()-1,"0000"))</f>
        <v/>
      </c>
      <c r="D143" s="3">
        <f>IF(C143="","",IFERROR(VLOOKUP(C143,Suppliers!A:B,2,FALSE),""))</f>
        <v/>
      </c>
      <c r="I143" s="4" t="n"/>
      <c r="J143" s="5">
        <f>IF(OR(H143="",I143=""),"",ROUND(H143*I143,2))</f>
        <v/>
      </c>
      <c r="M143" s="4" t="n"/>
      <c r="N143" s="5">
        <f>IF(OR(L143="",M143=""),"",ROUND(L143*M143,2))</f>
        <v/>
      </c>
      <c r="Q143" s="4" t="n"/>
      <c r="R143" s="5">
        <f>IF(OR(P143="",Q143=""),"",ROUND(P143*Q143,2))</f>
        <v/>
      </c>
      <c r="S143" s="5">
        <f>IF(C143="","",SUM(J143,N143,R143))</f>
        <v/>
      </c>
      <c r="T143" s="5">
        <f>IF(C143="","",ROUND(S143*Settings!$B$2,2))</f>
        <v/>
      </c>
      <c r="U143" s="5">
        <f>IF(C143="","",S143+T143)</f>
        <v/>
      </c>
    </row>
    <row r="144">
      <c r="A144" s="3">
        <f>IF(C144="","","PO-"&amp;TEXT(ROW()-1,"0000"))</f>
        <v/>
      </c>
      <c r="D144" s="3">
        <f>IF(C144="","",IFERROR(VLOOKUP(C144,Suppliers!A:B,2,FALSE),""))</f>
        <v/>
      </c>
      <c r="I144" s="4" t="n"/>
      <c r="J144" s="5">
        <f>IF(OR(H144="",I144=""),"",ROUND(H144*I144,2))</f>
        <v/>
      </c>
      <c r="M144" s="4" t="n"/>
      <c r="N144" s="5">
        <f>IF(OR(L144="",M144=""),"",ROUND(L144*M144,2))</f>
        <v/>
      </c>
      <c r="Q144" s="4" t="n"/>
      <c r="R144" s="5">
        <f>IF(OR(P144="",Q144=""),"",ROUND(P144*Q144,2))</f>
        <v/>
      </c>
      <c r="S144" s="5">
        <f>IF(C144="","",SUM(J144,N144,R144))</f>
        <v/>
      </c>
      <c r="T144" s="5">
        <f>IF(C144="","",ROUND(S144*Settings!$B$2,2))</f>
        <v/>
      </c>
      <c r="U144" s="5">
        <f>IF(C144="","",S144+T144)</f>
        <v/>
      </c>
    </row>
    <row r="145">
      <c r="A145" s="3">
        <f>IF(C145="","","PO-"&amp;TEXT(ROW()-1,"0000"))</f>
        <v/>
      </c>
      <c r="D145" s="3">
        <f>IF(C145="","",IFERROR(VLOOKUP(C145,Suppliers!A:B,2,FALSE),""))</f>
        <v/>
      </c>
      <c r="I145" s="4" t="n"/>
      <c r="J145" s="5">
        <f>IF(OR(H145="",I145=""),"",ROUND(H145*I145,2))</f>
        <v/>
      </c>
      <c r="M145" s="4" t="n"/>
      <c r="N145" s="5">
        <f>IF(OR(L145="",M145=""),"",ROUND(L145*M145,2))</f>
        <v/>
      </c>
      <c r="Q145" s="4" t="n"/>
      <c r="R145" s="5">
        <f>IF(OR(P145="",Q145=""),"",ROUND(P145*Q145,2))</f>
        <v/>
      </c>
      <c r="S145" s="5">
        <f>IF(C145="","",SUM(J145,N145,R145))</f>
        <v/>
      </c>
      <c r="T145" s="5">
        <f>IF(C145="","",ROUND(S145*Settings!$B$2,2))</f>
        <v/>
      </c>
      <c r="U145" s="5">
        <f>IF(C145="","",S145+T145)</f>
        <v/>
      </c>
    </row>
    <row r="146">
      <c r="A146" s="3">
        <f>IF(C146="","","PO-"&amp;TEXT(ROW()-1,"0000"))</f>
        <v/>
      </c>
      <c r="D146" s="3">
        <f>IF(C146="","",IFERROR(VLOOKUP(C146,Suppliers!A:B,2,FALSE),""))</f>
        <v/>
      </c>
      <c r="I146" s="4" t="n"/>
      <c r="J146" s="5">
        <f>IF(OR(H146="",I146=""),"",ROUND(H146*I146,2))</f>
        <v/>
      </c>
      <c r="M146" s="4" t="n"/>
      <c r="N146" s="5">
        <f>IF(OR(L146="",M146=""),"",ROUND(L146*M146,2))</f>
        <v/>
      </c>
      <c r="Q146" s="4" t="n"/>
      <c r="R146" s="5">
        <f>IF(OR(P146="",Q146=""),"",ROUND(P146*Q146,2))</f>
        <v/>
      </c>
      <c r="S146" s="5">
        <f>IF(C146="","",SUM(J146,N146,R146))</f>
        <v/>
      </c>
      <c r="T146" s="5">
        <f>IF(C146="","",ROUND(S146*Settings!$B$2,2))</f>
        <v/>
      </c>
      <c r="U146" s="5">
        <f>IF(C146="","",S146+T146)</f>
        <v/>
      </c>
    </row>
    <row r="147">
      <c r="A147" s="3">
        <f>IF(C147="","","PO-"&amp;TEXT(ROW()-1,"0000"))</f>
        <v/>
      </c>
      <c r="D147" s="3">
        <f>IF(C147="","",IFERROR(VLOOKUP(C147,Suppliers!A:B,2,FALSE),""))</f>
        <v/>
      </c>
      <c r="I147" s="4" t="n"/>
      <c r="J147" s="5">
        <f>IF(OR(H147="",I147=""),"",ROUND(H147*I147,2))</f>
        <v/>
      </c>
      <c r="M147" s="4" t="n"/>
      <c r="N147" s="5">
        <f>IF(OR(L147="",M147=""),"",ROUND(L147*M147,2))</f>
        <v/>
      </c>
      <c r="Q147" s="4" t="n"/>
      <c r="R147" s="5">
        <f>IF(OR(P147="",Q147=""),"",ROUND(P147*Q147,2))</f>
        <v/>
      </c>
      <c r="S147" s="5">
        <f>IF(C147="","",SUM(J147,N147,R147))</f>
        <v/>
      </c>
      <c r="T147" s="5">
        <f>IF(C147="","",ROUND(S147*Settings!$B$2,2))</f>
        <v/>
      </c>
      <c r="U147" s="5">
        <f>IF(C147="","",S147+T147)</f>
        <v/>
      </c>
    </row>
    <row r="148">
      <c r="A148" s="3">
        <f>IF(C148="","","PO-"&amp;TEXT(ROW()-1,"0000"))</f>
        <v/>
      </c>
      <c r="D148" s="3">
        <f>IF(C148="","",IFERROR(VLOOKUP(C148,Suppliers!A:B,2,FALSE),""))</f>
        <v/>
      </c>
      <c r="I148" s="4" t="n"/>
      <c r="J148" s="5">
        <f>IF(OR(H148="",I148=""),"",ROUND(H148*I148,2))</f>
        <v/>
      </c>
      <c r="M148" s="4" t="n"/>
      <c r="N148" s="5">
        <f>IF(OR(L148="",M148=""),"",ROUND(L148*M148,2))</f>
        <v/>
      </c>
      <c r="Q148" s="4" t="n"/>
      <c r="R148" s="5">
        <f>IF(OR(P148="",Q148=""),"",ROUND(P148*Q148,2))</f>
        <v/>
      </c>
      <c r="S148" s="5">
        <f>IF(C148="","",SUM(J148,N148,R148))</f>
        <v/>
      </c>
      <c r="T148" s="5">
        <f>IF(C148="","",ROUND(S148*Settings!$B$2,2))</f>
        <v/>
      </c>
      <c r="U148" s="5">
        <f>IF(C148="","",S148+T148)</f>
        <v/>
      </c>
    </row>
    <row r="149">
      <c r="A149" s="3">
        <f>IF(C149="","","PO-"&amp;TEXT(ROW()-1,"0000"))</f>
        <v/>
      </c>
      <c r="D149" s="3">
        <f>IF(C149="","",IFERROR(VLOOKUP(C149,Suppliers!A:B,2,FALSE),""))</f>
        <v/>
      </c>
      <c r="I149" s="4" t="n"/>
      <c r="J149" s="5">
        <f>IF(OR(H149="",I149=""),"",ROUND(H149*I149,2))</f>
        <v/>
      </c>
      <c r="M149" s="4" t="n"/>
      <c r="N149" s="5">
        <f>IF(OR(L149="",M149=""),"",ROUND(L149*M149,2))</f>
        <v/>
      </c>
      <c r="Q149" s="4" t="n"/>
      <c r="R149" s="5">
        <f>IF(OR(P149="",Q149=""),"",ROUND(P149*Q149,2))</f>
        <v/>
      </c>
      <c r="S149" s="5">
        <f>IF(C149="","",SUM(J149,N149,R149))</f>
        <v/>
      </c>
      <c r="T149" s="5">
        <f>IF(C149="","",ROUND(S149*Settings!$B$2,2))</f>
        <v/>
      </c>
      <c r="U149" s="5">
        <f>IF(C149="","",S149+T149)</f>
        <v/>
      </c>
    </row>
    <row r="150">
      <c r="A150" s="3">
        <f>IF(C150="","","PO-"&amp;TEXT(ROW()-1,"0000"))</f>
        <v/>
      </c>
      <c r="D150" s="3">
        <f>IF(C150="","",IFERROR(VLOOKUP(C150,Suppliers!A:B,2,FALSE),""))</f>
        <v/>
      </c>
      <c r="I150" s="4" t="n"/>
      <c r="J150" s="5">
        <f>IF(OR(H150="",I150=""),"",ROUND(H150*I150,2))</f>
        <v/>
      </c>
      <c r="M150" s="4" t="n"/>
      <c r="N150" s="5">
        <f>IF(OR(L150="",M150=""),"",ROUND(L150*M150,2))</f>
        <v/>
      </c>
      <c r="Q150" s="4" t="n"/>
      <c r="R150" s="5">
        <f>IF(OR(P150="",Q150=""),"",ROUND(P150*Q150,2))</f>
        <v/>
      </c>
      <c r="S150" s="5">
        <f>IF(C150="","",SUM(J150,N150,R150))</f>
        <v/>
      </c>
      <c r="T150" s="5">
        <f>IF(C150="","",ROUND(S150*Settings!$B$2,2))</f>
        <v/>
      </c>
      <c r="U150" s="5">
        <f>IF(C150="","",S150+T150)</f>
        <v/>
      </c>
    </row>
    <row r="151">
      <c r="A151" s="3">
        <f>IF(C151="","","PO-"&amp;TEXT(ROW()-1,"0000"))</f>
        <v/>
      </c>
      <c r="D151" s="3">
        <f>IF(C151="","",IFERROR(VLOOKUP(C151,Suppliers!A:B,2,FALSE),""))</f>
        <v/>
      </c>
      <c r="I151" s="4" t="n"/>
      <c r="J151" s="5">
        <f>IF(OR(H151="",I151=""),"",ROUND(H151*I151,2))</f>
        <v/>
      </c>
      <c r="M151" s="4" t="n"/>
      <c r="N151" s="5">
        <f>IF(OR(L151="",M151=""),"",ROUND(L151*M151,2))</f>
        <v/>
      </c>
      <c r="Q151" s="4" t="n"/>
      <c r="R151" s="5">
        <f>IF(OR(P151="",Q151=""),"",ROUND(P151*Q151,2))</f>
        <v/>
      </c>
      <c r="S151" s="5">
        <f>IF(C151="","",SUM(J151,N151,R151))</f>
        <v/>
      </c>
      <c r="T151" s="5">
        <f>IF(C151="","",ROUND(S151*Settings!$B$2,2))</f>
        <v/>
      </c>
      <c r="U151" s="5">
        <f>IF(C151="","",S151+T151)</f>
        <v/>
      </c>
    </row>
    <row r="152">
      <c r="A152" s="3">
        <f>IF(C152="","","PO-"&amp;TEXT(ROW()-1,"0000"))</f>
        <v/>
      </c>
      <c r="D152" s="3">
        <f>IF(C152="","",IFERROR(VLOOKUP(C152,Suppliers!A:B,2,FALSE),""))</f>
        <v/>
      </c>
      <c r="I152" s="4" t="n"/>
      <c r="J152" s="5">
        <f>IF(OR(H152="",I152=""),"",ROUND(H152*I152,2))</f>
        <v/>
      </c>
      <c r="M152" s="4" t="n"/>
      <c r="N152" s="5">
        <f>IF(OR(L152="",M152=""),"",ROUND(L152*M152,2))</f>
        <v/>
      </c>
      <c r="Q152" s="4" t="n"/>
      <c r="R152" s="5">
        <f>IF(OR(P152="",Q152=""),"",ROUND(P152*Q152,2))</f>
        <v/>
      </c>
      <c r="S152" s="5">
        <f>IF(C152="","",SUM(J152,N152,R152))</f>
        <v/>
      </c>
      <c r="T152" s="5">
        <f>IF(C152="","",ROUND(S152*Settings!$B$2,2))</f>
        <v/>
      </c>
      <c r="U152" s="5">
        <f>IF(C152="","",S152+T152)</f>
        <v/>
      </c>
    </row>
    <row r="153">
      <c r="A153" s="3">
        <f>IF(C153="","","PO-"&amp;TEXT(ROW()-1,"0000"))</f>
        <v/>
      </c>
      <c r="D153" s="3">
        <f>IF(C153="","",IFERROR(VLOOKUP(C153,Suppliers!A:B,2,FALSE),""))</f>
        <v/>
      </c>
      <c r="I153" s="4" t="n"/>
      <c r="J153" s="5">
        <f>IF(OR(H153="",I153=""),"",ROUND(H153*I153,2))</f>
        <v/>
      </c>
      <c r="M153" s="4" t="n"/>
      <c r="N153" s="5">
        <f>IF(OR(L153="",M153=""),"",ROUND(L153*M153,2))</f>
        <v/>
      </c>
      <c r="Q153" s="4" t="n"/>
      <c r="R153" s="5">
        <f>IF(OR(P153="",Q153=""),"",ROUND(P153*Q153,2))</f>
        <v/>
      </c>
      <c r="S153" s="5">
        <f>IF(C153="","",SUM(J153,N153,R153))</f>
        <v/>
      </c>
      <c r="T153" s="5">
        <f>IF(C153="","",ROUND(S153*Settings!$B$2,2))</f>
        <v/>
      </c>
      <c r="U153" s="5">
        <f>IF(C153="","",S153+T153)</f>
        <v/>
      </c>
    </row>
    <row r="154">
      <c r="A154" s="3">
        <f>IF(C154="","","PO-"&amp;TEXT(ROW()-1,"0000"))</f>
        <v/>
      </c>
      <c r="D154" s="3">
        <f>IF(C154="","",IFERROR(VLOOKUP(C154,Suppliers!A:B,2,FALSE),""))</f>
        <v/>
      </c>
      <c r="I154" s="4" t="n"/>
      <c r="J154" s="5">
        <f>IF(OR(H154="",I154=""),"",ROUND(H154*I154,2))</f>
        <v/>
      </c>
      <c r="M154" s="4" t="n"/>
      <c r="N154" s="5">
        <f>IF(OR(L154="",M154=""),"",ROUND(L154*M154,2))</f>
        <v/>
      </c>
      <c r="Q154" s="4" t="n"/>
      <c r="R154" s="5">
        <f>IF(OR(P154="",Q154=""),"",ROUND(P154*Q154,2))</f>
        <v/>
      </c>
      <c r="S154" s="5">
        <f>IF(C154="","",SUM(J154,N154,R154))</f>
        <v/>
      </c>
      <c r="T154" s="5">
        <f>IF(C154="","",ROUND(S154*Settings!$B$2,2))</f>
        <v/>
      </c>
      <c r="U154" s="5">
        <f>IF(C154="","",S154+T154)</f>
        <v/>
      </c>
    </row>
    <row r="155">
      <c r="A155" s="3">
        <f>IF(C155="","","PO-"&amp;TEXT(ROW()-1,"0000"))</f>
        <v/>
      </c>
      <c r="D155" s="3">
        <f>IF(C155="","",IFERROR(VLOOKUP(C155,Suppliers!A:B,2,FALSE),""))</f>
        <v/>
      </c>
      <c r="I155" s="4" t="n"/>
      <c r="J155" s="5">
        <f>IF(OR(H155="",I155=""),"",ROUND(H155*I155,2))</f>
        <v/>
      </c>
      <c r="M155" s="4" t="n"/>
      <c r="N155" s="5">
        <f>IF(OR(L155="",M155=""),"",ROUND(L155*M155,2))</f>
        <v/>
      </c>
      <c r="Q155" s="4" t="n"/>
      <c r="R155" s="5">
        <f>IF(OR(P155="",Q155=""),"",ROUND(P155*Q155,2))</f>
        <v/>
      </c>
      <c r="S155" s="5">
        <f>IF(C155="","",SUM(J155,N155,R155))</f>
        <v/>
      </c>
      <c r="T155" s="5">
        <f>IF(C155="","",ROUND(S155*Settings!$B$2,2))</f>
        <v/>
      </c>
      <c r="U155" s="5">
        <f>IF(C155="","",S155+T155)</f>
        <v/>
      </c>
    </row>
    <row r="156">
      <c r="A156" s="3">
        <f>IF(C156="","","PO-"&amp;TEXT(ROW()-1,"0000"))</f>
        <v/>
      </c>
      <c r="D156" s="3">
        <f>IF(C156="","",IFERROR(VLOOKUP(C156,Suppliers!A:B,2,FALSE),""))</f>
        <v/>
      </c>
      <c r="I156" s="4" t="n"/>
      <c r="J156" s="5">
        <f>IF(OR(H156="",I156=""),"",ROUND(H156*I156,2))</f>
        <v/>
      </c>
      <c r="M156" s="4" t="n"/>
      <c r="N156" s="5">
        <f>IF(OR(L156="",M156=""),"",ROUND(L156*M156,2))</f>
        <v/>
      </c>
      <c r="Q156" s="4" t="n"/>
      <c r="R156" s="5">
        <f>IF(OR(P156="",Q156=""),"",ROUND(P156*Q156,2))</f>
        <v/>
      </c>
      <c r="S156" s="5">
        <f>IF(C156="","",SUM(J156,N156,R156))</f>
        <v/>
      </c>
      <c r="T156" s="5">
        <f>IF(C156="","",ROUND(S156*Settings!$B$2,2))</f>
        <v/>
      </c>
      <c r="U156" s="5">
        <f>IF(C156="","",S156+T156)</f>
        <v/>
      </c>
    </row>
    <row r="157">
      <c r="A157" s="3">
        <f>IF(C157="","","PO-"&amp;TEXT(ROW()-1,"0000"))</f>
        <v/>
      </c>
      <c r="D157" s="3">
        <f>IF(C157="","",IFERROR(VLOOKUP(C157,Suppliers!A:B,2,FALSE),""))</f>
        <v/>
      </c>
      <c r="I157" s="4" t="n"/>
      <c r="J157" s="5">
        <f>IF(OR(H157="",I157=""),"",ROUND(H157*I157,2))</f>
        <v/>
      </c>
      <c r="M157" s="4" t="n"/>
      <c r="N157" s="5">
        <f>IF(OR(L157="",M157=""),"",ROUND(L157*M157,2))</f>
        <v/>
      </c>
      <c r="Q157" s="4" t="n"/>
      <c r="R157" s="5">
        <f>IF(OR(P157="",Q157=""),"",ROUND(P157*Q157,2))</f>
        <v/>
      </c>
      <c r="S157" s="5">
        <f>IF(C157="","",SUM(J157,N157,R157))</f>
        <v/>
      </c>
      <c r="T157" s="5">
        <f>IF(C157="","",ROUND(S157*Settings!$B$2,2))</f>
        <v/>
      </c>
      <c r="U157" s="5">
        <f>IF(C157="","",S157+T157)</f>
        <v/>
      </c>
    </row>
    <row r="158">
      <c r="A158" s="3">
        <f>IF(C158="","","PO-"&amp;TEXT(ROW()-1,"0000"))</f>
        <v/>
      </c>
      <c r="D158" s="3">
        <f>IF(C158="","",IFERROR(VLOOKUP(C158,Suppliers!A:B,2,FALSE),""))</f>
        <v/>
      </c>
      <c r="I158" s="4" t="n"/>
      <c r="J158" s="5">
        <f>IF(OR(H158="",I158=""),"",ROUND(H158*I158,2))</f>
        <v/>
      </c>
      <c r="M158" s="4" t="n"/>
      <c r="N158" s="5">
        <f>IF(OR(L158="",M158=""),"",ROUND(L158*M158,2))</f>
        <v/>
      </c>
      <c r="Q158" s="4" t="n"/>
      <c r="R158" s="5">
        <f>IF(OR(P158="",Q158=""),"",ROUND(P158*Q158,2))</f>
        <v/>
      </c>
      <c r="S158" s="5">
        <f>IF(C158="","",SUM(J158,N158,R158))</f>
        <v/>
      </c>
      <c r="T158" s="5">
        <f>IF(C158="","",ROUND(S158*Settings!$B$2,2))</f>
        <v/>
      </c>
      <c r="U158" s="5">
        <f>IF(C158="","",S158+T158)</f>
        <v/>
      </c>
    </row>
    <row r="159">
      <c r="A159" s="3">
        <f>IF(C159="","","PO-"&amp;TEXT(ROW()-1,"0000"))</f>
        <v/>
      </c>
      <c r="D159" s="3">
        <f>IF(C159="","",IFERROR(VLOOKUP(C159,Suppliers!A:B,2,FALSE),""))</f>
        <v/>
      </c>
      <c r="I159" s="4" t="n"/>
      <c r="J159" s="5">
        <f>IF(OR(H159="",I159=""),"",ROUND(H159*I159,2))</f>
        <v/>
      </c>
      <c r="M159" s="4" t="n"/>
      <c r="N159" s="5">
        <f>IF(OR(L159="",M159=""),"",ROUND(L159*M159,2))</f>
        <v/>
      </c>
      <c r="Q159" s="4" t="n"/>
      <c r="R159" s="5">
        <f>IF(OR(P159="",Q159=""),"",ROUND(P159*Q159,2))</f>
        <v/>
      </c>
      <c r="S159" s="5">
        <f>IF(C159="","",SUM(J159,N159,R159))</f>
        <v/>
      </c>
      <c r="T159" s="5">
        <f>IF(C159="","",ROUND(S159*Settings!$B$2,2))</f>
        <v/>
      </c>
      <c r="U159" s="5">
        <f>IF(C159="","",S159+T159)</f>
        <v/>
      </c>
    </row>
    <row r="160">
      <c r="A160" s="3">
        <f>IF(C160="","","PO-"&amp;TEXT(ROW()-1,"0000"))</f>
        <v/>
      </c>
      <c r="D160" s="3">
        <f>IF(C160="","",IFERROR(VLOOKUP(C160,Suppliers!A:B,2,FALSE),""))</f>
        <v/>
      </c>
      <c r="I160" s="4" t="n"/>
      <c r="J160" s="5">
        <f>IF(OR(H160="",I160=""),"",ROUND(H160*I160,2))</f>
        <v/>
      </c>
      <c r="M160" s="4" t="n"/>
      <c r="N160" s="5">
        <f>IF(OR(L160="",M160=""),"",ROUND(L160*M160,2))</f>
        <v/>
      </c>
      <c r="Q160" s="4" t="n"/>
      <c r="R160" s="5">
        <f>IF(OR(P160="",Q160=""),"",ROUND(P160*Q160,2))</f>
        <v/>
      </c>
      <c r="S160" s="5">
        <f>IF(C160="","",SUM(J160,N160,R160))</f>
        <v/>
      </c>
      <c r="T160" s="5">
        <f>IF(C160="","",ROUND(S160*Settings!$B$2,2))</f>
        <v/>
      </c>
      <c r="U160" s="5">
        <f>IF(C160="","",S160+T160)</f>
        <v/>
      </c>
    </row>
    <row r="161">
      <c r="A161" s="3">
        <f>IF(C161="","","PO-"&amp;TEXT(ROW()-1,"0000"))</f>
        <v/>
      </c>
      <c r="D161" s="3">
        <f>IF(C161="","",IFERROR(VLOOKUP(C161,Suppliers!A:B,2,FALSE),""))</f>
        <v/>
      </c>
      <c r="I161" s="4" t="n"/>
      <c r="J161" s="5">
        <f>IF(OR(H161="",I161=""),"",ROUND(H161*I161,2))</f>
        <v/>
      </c>
      <c r="M161" s="4" t="n"/>
      <c r="N161" s="5">
        <f>IF(OR(L161="",M161=""),"",ROUND(L161*M161,2))</f>
        <v/>
      </c>
      <c r="Q161" s="4" t="n"/>
      <c r="R161" s="5">
        <f>IF(OR(P161="",Q161=""),"",ROUND(P161*Q161,2))</f>
        <v/>
      </c>
      <c r="S161" s="5">
        <f>IF(C161="","",SUM(J161,N161,R161))</f>
        <v/>
      </c>
      <c r="T161" s="5">
        <f>IF(C161="","",ROUND(S161*Settings!$B$2,2))</f>
        <v/>
      </c>
      <c r="U161" s="5">
        <f>IF(C161="","",S161+T161)</f>
        <v/>
      </c>
    </row>
    <row r="162">
      <c r="A162" s="3">
        <f>IF(C162="","","PO-"&amp;TEXT(ROW()-1,"0000"))</f>
        <v/>
      </c>
      <c r="D162" s="3">
        <f>IF(C162="","",IFERROR(VLOOKUP(C162,Suppliers!A:B,2,FALSE),""))</f>
        <v/>
      </c>
      <c r="I162" s="4" t="n"/>
      <c r="J162" s="5">
        <f>IF(OR(H162="",I162=""),"",ROUND(H162*I162,2))</f>
        <v/>
      </c>
      <c r="M162" s="4" t="n"/>
      <c r="N162" s="5">
        <f>IF(OR(L162="",M162=""),"",ROUND(L162*M162,2))</f>
        <v/>
      </c>
      <c r="Q162" s="4" t="n"/>
      <c r="R162" s="5">
        <f>IF(OR(P162="",Q162=""),"",ROUND(P162*Q162,2))</f>
        <v/>
      </c>
      <c r="S162" s="5">
        <f>IF(C162="","",SUM(J162,N162,R162))</f>
        <v/>
      </c>
      <c r="T162" s="5">
        <f>IF(C162="","",ROUND(S162*Settings!$B$2,2))</f>
        <v/>
      </c>
      <c r="U162" s="5">
        <f>IF(C162="","",S162+T162)</f>
        <v/>
      </c>
    </row>
    <row r="163">
      <c r="A163" s="3">
        <f>IF(C163="","","PO-"&amp;TEXT(ROW()-1,"0000"))</f>
        <v/>
      </c>
      <c r="D163" s="3">
        <f>IF(C163="","",IFERROR(VLOOKUP(C163,Suppliers!A:B,2,FALSE),""))</f>
        <v/>
      </c>
      <c r="I163" s="4" t="n"/>
      <c r="J163" s="5">
        <f>IF(OR(H163="",I163=""),"",ROUND(H163*I163,2))</f>
        <v/>
      </c>
      <c r="M163" s="4" t="n"/>
      <c r="N163" s="5">
        <f>IF(OR(L163="",M163=""),"",ROUND(L163*M163,2))</f>
        <v/>
      </c>
      <c r="Q163" s="4" t="n"/>
      <c r="R163" s="5">
        <f>IF(OR(P163="",Q163=""),"",ROUND(P163*Q163,2))</f>
        <v/>
      </c>
      <c r="S163" s="5">
        <f>IF(C163="","",SUM(J163,N163,R163))</f>
        <v/>
      </c>
      <c r="T163" s="5">
        <f>IF(C163="","",ROUND(S163*Settings!$B$2,2))</f>
        <v/>
      </c>
      <c r="U163" s="5">
        <f>IF(C163="","",S163+T163)</f>
        <v/>
      </c>
    </row>
    <row r="164">
      <c r="A164" s="3">
        <f>IF(C164="","","PO-"&amp;TEXT(ROW()-1,"0000"))</f>
        <v/>
      </c>
      <c r="D164" s="3">
        <f>IF(C164="","",IFERROR(VLOOKUP(C164,Suppliers!A:B,2,FALSE),""))</f>
        <v/>
      </c>
      <c r="I164" s="4" t="n"/>
      <c r="J164" s="5">
        <f>IF(OR(H164="",I164=""),"",ROUND(H164*I164,2))</f>
        <v/>
      </c>
      <c r="M164" s="4" t="n"/>
      <c r="N164" s="5">
        <f>IF(OR(L164="",M164=""),"",ROUND(L164*M164,2))</f>
        <v/>
      </c>
      <c r="Q164" s="4" t="n"/>
      <c r="R164" s="5">
        <f>IF(OR(P164="",Q164=""),"",ROUND(P164*Q164,2))</f>
        <v/>
      </c>
      <c r="S164" s="5">
        <f>IF(C164="","",SUM(J164,N164,R164))</f>
        <v/>
      </c>
      <c r="T164" s="5">
        <f>IF(C164="","",ROUND(S164*Settings!$B$2,2))</f>
        <v/>
      </c>
      <c r="U164" s="5">
        <f>IF(C164="","",S164+T164)</f>
        <v/>
      </c>
    </row>
    <row r="165">
      <c r="A165" s="3">
        <f>IF(C165="","","PO-"&amp;TEXT(ROW()-1,"0000"))</f>
        <v/>
      </c>
      <c r="D165" s="3">
        <f>IF(C165="","",IFERROR(VLOOKUP(C165,Suppliers!A:B,2,FALSE),""))</f>
        <v/>
      </c>
      <c r="I165" s="4" t="n"/>
      <c r="J165" s="5">
        <f>IF(OR(H165="",I165=""),"",ROUND(H165*I165,2))</f>
        <v/>
      </c>
      <c r="M165" s="4" t="n"/>
      <c r="N165" s="5">
        <f>IF(OR(L165="",M165=""),"",ROUND(L165*M165,2))</f>
        <v/>
      </c>
      <c r="Q165" s="4" t="n"/>
      <c r="R165" s="5">
        <f>IF(OR(P165="",Q165=""),"",ROUND(P165*Q165,2))</f>
        <v/>
      </c>
      <c r="S165" s="5">
        <f>IF(C165="","",SUM(J165,N165,R165))</f>
        <v/>
      </c>
      <c r="T165" s="5">
        <f>IF(C165="","",ROUND(S165*Settings!$B$2,2))</f>
        <v/>
      </c>
      <c r="U165" s="5">
        <f>IF(C165="","",S165+T165)</f>
        <v/>
      </c>
    </row>
    <row r="166">
      <c r="A166" s="3">
        <f>IF(C166="","","PO-"&amp;TEXT(ROW()-1,"0000"))</f>
        <v/>
      </c>
      <c r="D166" s="3">
        <f>IF(C166="","",IFERROR(VLOOKUP(C166,Suppliers!A:B,2,FALSE),""))</f>
        <v/>
      </c>
      <c r="I166" s="4" t="n"/>
      <c r="J166" s="5">
        <f>IF(OR(H166="",I166=""),"",ROUND(H166*I166,2))</f>
        <v/>
      </c>
      <c r="M166" s="4" t="n"/>
      <c r="N166" s="5">
        <f>IF(OR(L166="",M166=""),"",ROUND(L166*M166,2))</f>
        <v/>
      </c>
      <c r="Q166" s="4" t="n"/>
      <c r="R166" s="5">
        <f>IF(OR(P166="",Q166=""),"",ROUND(P166*Q166,2))</f>
        <v/>
      </c>
      <c r="S166" s="5">
        <f>IF(C166="","",SUM(J166,N166,R166))</f>
        <v/>
      </c>
      <c r="T166" s="5">
        <f>IF(C166="","",ROUND(S166*Settings!$B$2,2))</f>
        <v/>
      </c>
      <c r="U166" s="5">
        <f>IF(C166="","",S166+T166)</f>
        <v/>
      </c>
    </row>
    <row r="167">
      <c r="A167" s="3">
        <f>IF(C167="","","PO-"&amp;TEXT(ROW()-1,"0000"))</f>
        <v/>
      </c>
      <c r="D167" s="3">
        <f>IF(C167="","",IFERROR(VLOOKUP(C167,Suppliers!A:B,2,FALSE),""))</f>
        <v/>
      </c>
      <c r="I167" s="4" t="n"/>
      <c r="J167" s="5">
        <f>IF(OR(H167="",I167=""),"",ROUND(H167*I167,2))</f>
        <v/>
      </c>
      <c r="M167" s="4" t="n"/>
      <c r="N167" s="5">
        <f>IF(OR(L167="",M167=""),"",ROUND(L167*M167,2))</f>
        <v/>
      </c>
      <c r="Q167" s="4" t="n"/>
      <c r="R167" s="5">
        <f>IF(OR(P167="",Q167=""),"",ROUND(P167*Q167,2))</f>
        <v/>
      </c>
      <c r="S167" s="5">
        <f>IF(C167="","",SUM(J167,N167,R167))</f>
        <v/>
      </c>
      <c r="T167" s="5">
        <f>IF(C167="","",ROUND(S167*Settings!$B$2,2))</f>
        <v/>
      </c>
      <c r="U167" s="5">
        <f>IF(C167="","",S167+T167)</f>
        <v/>
      </c>
    </row>
    <row r="168">
      <c r="A168" s="3">
        <f>IF(C168="","","PO-"&amp;TEXT(ROW()-1,"0000"))</f>
        <v/>
      </c>
      <c r="D168" s="3">
        <f>IF(C168="","",IFERROR(VLOOKUP(C168,Suppliers!A:B,2,FALSE),""))</f>
        <v/>
      </c>
      <c r="I168" s="4" t="n"/>
      <c r="J168" s="5">
        <f>IF(OR(H168="",I168=""),"",ROUND(H168*I168,2))</f>
        <v/>
      </c>
      <c r="M168" s="4" t="n"/>
      <c r="N168" s="5">
        <f>IF(OR(L168="",M168=""),"",ROUND(L168*M168,2))</f>
        <v/>
      </c>
      <c r="Q168" s="4" t="n"/>
      <c r="R168" s="5">
        <f>IF(OR(P168="",Q168=""),"",ROUND(P168*Q168,2))</f>
        <v/>
      </c>
      <c r="S168" s="5">
        <f>IF(C168="","",SUM(J168,N168,R168))</f>
        <v/>
      </c>
      <c r="T168" s="5">
        <f>IF(C168="","",ROUND(S168*Settings!$B$2,2))</f>
        <v/>
      </c>
      <c r="U168" s="5">
        <f>IF(C168="","",S168+T168)</f>
        <v/>
      </c>
    </row>
    <row r="169">
      <c r="A169" s="3">
        <f>IF(C169="","","PO-"&amp;TEXT(ROW()-1,"0000"))</f>
        <v/>
      </c>
      <c r="D169" s="3">
        <f>IF(C169="","",IFERROR(VLOOKUP(C169,Suppliers!A:B,2,FALSE),""))</f>
        <v/>
      </c>
      <c r="I169" s="4" t="n"/>
      <c r="J169" s="5">
        <f>IF(OR(H169="",I169=""),"",ROUND(H169*I169,2))</f>
        <v/>
      </c>
      <c r="M169" s="4" t="n"/>
      <c r="N169" s="5">
        <f>IF(OR(L169="",M169=""),"",ROUND(L169*M169,2))</f>
        <v/>
      </c>
      <c r="Q169" s="4" t="n"/>
      <c r="R169" s="5">
        <f>IF(OR(P169="",Q169=""),"",ROUND(P169*Q169,2))</f>
        <v/>
      </c>
      <c r="S169" s="5">
        <f>IF(C169="","",SUM(J169,N169,R169))</f>
        <v/>
      </c>
      <c r="T169" s="5">
        <f>IF(C169="","",ROUND(S169*Settings!$B$2,2))</f>
        <v/>
      </c>
      <c r="U169" s="5">
        <f>IF(C169="","",S169+T169)</f>
        <v/>
      </c>
    </row>
    <row r="170">
      <c r="A170" s="3">
        <f>IF(C170="","","PO-"&amp;TEXT(ROW()-1,"0000"))</f>
        <v/>
      </c>
      <c r="D170" s="3">
        <f>IF(C170="","",IFERROR(VLOOKUP(C170,Suppliers!A:B,2,FALSE),""))</f>
        <v/>
      </c>
      <c r="I170" s="4" t="n"/>
      <c r="J170" s="5">
        <f>IF(OR(H170="",I170=""),"",ROUND(H170*I170,2))</f>
        <v/>
      </c>
      <c r="M170" s="4" t="n"/>
      <c r="N170" s="5">
        <f>IF(OR(L170="",M170=""),"",ROUND(L170*M170,2))</f>
        <v/>
      </c>
      <c r="Q170" s="4" t="n"/>
      <c r="R170" s="5">
        <f>IF(OR(P170="",Q170=""),"",ROUND(P170*Q170,2))</f>
        <v/>
      </c>
      <c r="S170" s="5">
        <f>IF(C170="","",SUM(J170,N170,R170))</f>
        <v/>
      </c>
      <c r="T170" s="5">
        <f>IF(C170="","",ROUND(S170*Settings!$B$2,2))</f>
        <v/>
      </c>
      <c r="U170" s="5">
        <f>IF(C170="","",S170+T170)</f>
        <v/>
      </c>
    </row>
    <row r="171">
      <c r="A171" s="3">
        <f>IF(C171="","","PO-"&amp;TEXT(ROW()-1,"0000"))</f>
        <v/>
      </c>
      <c r="D171" s="3">
        <f>IF(C171="","",IFERROR(VLOOKUP(C171,Suppliers!A:B,2,FALSE),""))</f>
        <v/>
      </c>
      <c r="I171" s="4" t="n"/>
      <c r="J171" s="5">
        <f>IF(OR(H171="",I171=""),"",ROUND(H171*I171,2))</f>
        <v/>
      </c>
      <c r="M171" s="4" t="n"/>
      <c r="N171" s="5">
        <f>IF(OR(L171="",M171=""),"",ROUND(L171*M171,2))</f>
        <v/>
      </c>
      <c r="Q171" s="4" t="n"/>
      <c r="R171" s="5">
        <f>IF(OR(P171="",Q171=""),"",ROUND(P171*Q171,2))</f>
        <v/>
      </c>
      <c r="S171" s="5">
        <f>IF(C171="","",SUM(J171,N171,R171))</f>
        <v/>
      </c>
      <c r="T171" s="5">
        <f>IF(C171="","",ROUND(S171*Settings!$B$2,2))</f>
        <v/>
      </c>
      <c r="U171" s="5">
        <f>IF(C171="","",S171+T171)</f>
        <v/>
      </c>
    </row>
    <row r="172">
      <c r="A172" s="3">
        <f>IF(C172="","","PO-"&amp;TEXT(ROW()-1,"0000"))</f>
        <v/>
      </c>
      <c r="D172" s="3">
        <f>IF(C172="","",IFERROR(VLOOKUP(C172,Suppliers!A:B,2,FALSE),""))</f>
        <v/>
      </c>
      <c r="I172" s="4" t="n"/>
      <c r="J172" s="5">
        <f>IF(OR(H172="",I172=""),"",ROUND(H172*I172,2))</f>
        <v/>
      </c>
      <c r="M172" s="4" t="n"/>
      <c r="N172" s="5">
        <f>IF(OR(L172="",M172=""),"",ROUND(L172*M172,2))</f>
        <v/>
      </c>
      <c r="Q172" s="4" t="n"/>
      <c r="R172" s="5">
        <f>IF(OR(P172="",Q172=""),"",ROUND(P172*Q172,2))</f>
        <v/>
      </c>
      <c r="S172" s="5">
        <f>IF(C172="","",SUM(J172,N172,R172))</f>
        <v/>
      </c>
      <c r="T172" s="5">
        <f>IF(C172="","",ROUND(S172*Settings!$B$2,2))</f>
        <v/>
      </c>
      <c r="U172" s="5">
        <f>IF(C172="","",S172+T172)</f>
        <v/>
      </c>
    </row>
    <row r="173">
      <c r="A173" s="3">
        <f>IF(C173="","","PO-"&amp;TEXT(ROW()-1,"0000"))</f>
        <v/>
      </c>
      <c r="D173" s="3">
        <f>IF(C173="","",IFERROR(VLOOKUP(C173,Suppliers!A:B,2,FALSE),""))</f>
        <v/>
      </c>
      <c r="I173" s="4" t="n"/>
      <c r="J173" s="5">
        <f>IF(OR(H173="",I173=""),"",ROUND(H173*I173,2))</f>
        <v/>
      </c>
      <c r="M173" s="4" t="n"/>
      <c r="N173" s="5">
        <f>IF(OR(L173="",M173=""),"",ROUND(L173*M173,2))</f>
        <v/>
      </c>
      <c r="Q173" s="4" t="n"/>
      <c r="R173" s="5">
        <f>IF(OR(P173="",Q173=""),"",ROUND(P173*Q173,2))</f>
        <v/>
      </c>
      <c r="S173" s="5">
        <f>IF(C173="","",SUM(J173,N173,R173))</f>
        <v/>
      </c>
      <c r="T173" s="5">
        <f>IF(C173="","",ROUND(S173*Settings!$B$2,2))</f>
        <v/>
      </c>
      <c r="U173" s="5">
        <f>IF(C173="","",S173+T173)</f>
        <v/>
      </c>
    </row>
    <row r="174">
      <c r="A174" s="3">
        <f>IF(C174="","","PO-"&amp;TEXT(ROW()-1,"0000"))</f>
        <v/>
      </c>
      <c r="D174" s="3">
        <f>IF(C174="","",IFERROR(VLOOKUP(C174,Suppliers!A:B,2,FALSE),""))</f>
        <v/>
      </c>
      <c r="I174" s="4" t="n"/>
      <c r="J174" s="5">
        <f>IF(OR(H174="",I174=""),"",ROUND(H174*I174,2))</f>
        <v/>
      </c>
      <c r="M174" s="4" t="n"/>
      <c r="N174" s="5">
        <f>IF(OR(L174="",M174=""),"",ROUND(L174*M174,2))</f>
        <v/>
      </c>
      <c r="Q174" s="4" t="n"/>
      <c r="R174" s="5">
        <f>IF(OR(P174="",Q174=""),"",ROUND(P174*Q174,2))</f>
        <v/>
      </c>
      <c r="S174" s="5">
        <f>IF(C174="","",SUM(J174,N174,R174))</f>
        <v/>
      </c>
      <c r="T174" s="5">
        <f>IF(C174="","",ROUND(S174*Settings!$B$2,2))</f>
        <v/>
      </c>
      <c r="U174" s="5">
        <f>IF(C174="","",S174+T174)</f>
        <v/>
      </c>
    </row>
    <row r="175">
      <c r="A175" s="3">
        <f>IF(C175="","","PO-"&amp;TEXT(ROW()-1,"0000"))</f>
        <v/>
      </c>
      <c r="D175" s="3">
        <f>IF(C175="","",IFERROR(VLOOKUP(C175,Suppliers!A:B,2,FALSE),""))</f>
        <v/>
      </c>
      <c r="I175" s="4" t="n"/>
      <c r="J175" s="5">
        <f>IF(OR(H175="",I175=""),"",ROUND(H175*I175,2))</f>
        <v/>
      </c>
      <c r="M175" s="4" t="n"/>
      <c r="N175" s="5">
        <f>IF(OR(L175="",M175=""),"",ROUND(L175*M175,2))</f>
        <v/>
      </c>
      <c r="Q175" s="4" t="n"/>
      <c r="R175" s="5">
        <f>IF(OR(P175="",Q175=""),"",ROUND(P175*Q175,2))</f>
        <v/>
      </c>
      <c r="S175" s="5">
        <f>IF(C175="","",SUM(J175,N175,R175))</f>
        <v/>
      </c>
      <c r="T175" s="5">
        <f>IF(C175="","",ROUND(S175*Settings!$B$2,2))</f>
        <v/>
      </c>
      <c r="U175" s="5">
        <f>IF(C175="","",S175+T175)</f>
        <v/>
      </c>
    </row>
    <row r="176">
      <c r="A176" s="3">
        <f>IF(C176="","","PO-"&amp;TEXT(ROW()-1,"0000"))</f>
        <v/>
      </c>
      <c r="D176" s="3">
        <f>IF(C176="","",IFERROR(VLOOKUP(C176,Suppliers!A:B,2,FALSE),""))</f>
        <v/>
      </c>
      <c r="I176" s="4" t="n"/>
      <c r="J176" s="5">
        <f>IF(OR(H176="",I176=""),"",ROUND(H176*I176,2))</f>
        <v/>
      </c>
      <c r="M176" s="4" t="n"/>
      <c r="N176" s="5">
        <f>IF(OR(L176="",M176=""),"",ROUND(L176*M176,2))</f>
        <v/>
      </c>
      <c r="Q176" s="4" t="n"/>
      <c r="R176" s="5">
        <f>IF(OR(P176="",Q176=""),"",ROUND(P176*Q176,2))</f>
        <v/>
      </c>
      <c r="S176" s="5">
        <f>IF(C176="","",SUM(J176,N176,R176))</f>
        <v/>
      </c>
      <c r="T176" s="5">
        <f>IF(C176="","",ROUND(S176*Settings!$B$2,2))</f>
        <v/>
      </c>
      <c r="U176" s="5">
        <f>IF(C176="","",S176+T176)</f>
        <v/>
      </c>
    </row>
    <row r="177">
      <c r="A177" s="3">
        <f>IF(C177="","","PO-"&amp;TEXT(ROW()-1,"0000"))</f>
        <v/>
      </c>
      <c r="D177" s="3">
        <f>IF(C177="","",IFERROR(VLOOKUP(C177,Suppliers!A:B,2,FALSE),""))</f>
        <v/>
      </c>
      <c r="I177" s="4" t="n"/>
      <c r="J177" s="5">
        <f>IF(OR(H177="",I177=""),"",ROUND(H177*I177,2))</f>
        <v/>
      </c>
      <c r="M177" s="4" t="n"/>
      <c r="N177" s="5">
        <f>IF(OR(L177="",M177=""),"",ROUND(L177*M177,2))</f>
        <v/>
      </c>
      <c r="Q177" s="4" t="n"/>
      <c r="R177" s="5">
        <f>IF(OR(P177="",Q177=""),"",ROUND(P177*Q177,2))</f>
        <v/>
      </c>
      <c r="S177" s="5">
        <f>IF(C177="","",SUM(J177,N177,R177))</f>
        <v/>
      </c>
      <c r="T177" s="5">
        <f>IF(C177="","",ROUND(S177*Settings!$B$2,2))</f>
        <v/>
      </c>
      <c r="U177" s="5">
        <f>IF(C177="","",S177+T177)</f>
        <v/>
      </c>
    </row>
    <row r="178">
      <c r="A178" s="3">
        <f>IF(C178="","","PO-"&amp;TEXT(ROW()-1,"0000"))</f>
        <v/>
      </c>
      <c r="D178" s="3">
        <f>IF(C178="","",IFERROR(VLOOKUP(C178,Suppliers!A:B,2,FALSE),""))</f>
        <v/>
      </c>
      <c r="I178" s="4" t="n"/>
      <c r="J178" s="5">
        <f>IF(OR(H178="",I178=""),"",ROUND(H178*I178,2))</f>
        <v/>
      </c>
      <c r="M178" s="4" t="n"/>
      <c r="N178" s="5">
        <f>IF(OR(L178="",M178=""),"",ROUND(L178*M178,2))</f>
        <v/>
      </c>
      <c r="Q178" s="4" t="n"/>
      <c r="R178" s="5">
        <f>IF(OR(P178="",Q178=""),"",ROUND(P178*Q178,2))</f>
        <v/>
      </c>
      <c r="S178" s="5">
        <f>IF(C178="","",SUM(J178,N178,R178))</f>
        <v/>
      </c>
      <c r="T178" s="5">
        <f>IF(C178="","",ROUND(S178*Settings!$B$2,2))</f>
        <v/>
      </c>
      <c r="U178" s="5">
        <f>IF(C178="","",S178+T178)</f>
        <v/>
      </c>
    </row>
    <row r="179">
      <c r="A179" s="3">
        <f>IF(C179="","","PO-"&amp;TEXT(ROW()-1,"0000"))</f>
        <v/>
      </c>
      <c r="D179" s="3">
        <f>IF(C179="","",IFERROR(VLOOKUP(C179,Suppliers!A:B,2,FALSE),""))</f>
        <v/>
      </c>
      <c r="I179" s="4" t="n"/>
      <c r="J179" s="5">
        <f>IF(OR(H179="",I179=""),"",ROUND(H179*I179,2))</f>
        <v/>
      </c>
      <c r="M179" s="4" t="n"/>
      <c r="N179" s="5">
        <f>IF(OR(L179="",M179=""),"",ROUND(L179*M179,2))</f>
        <v/>
      </c>
      <c r="Q179" s="4" t="n"/>
      <c r="R179" s="5">
        <f>IF(OR(P179="",Q179=""),"",ROUND(P179*Q179,2))</f>
        <v/>
      </c>
      <c r="S179" s="5">
        <f>IF(C179="","",SUM(J179,N179,R179))</f>
        <v/>
      </c>
      <c r="T179" s="5">
        <f>IF(C179="","",ROUND(S179*Settings!$B$2,2))</f>
        <v/>
      </c>
      <c r="U179" s="5">
        <f>IF(C179="","",S179+T179)</f>
        <v/>
      </c>
    </row>
    <row r="180">
      <c r="A180" s="3">
        <f>IF(C180="","","PO-"&amp;TEXT(ROW()-1,"0000"))</f>
        <v/>
      </c>
      <c r="D180" s="3">
        <f>IF(C180="","",IFERROR(VLOOKUP(C180,Suppliers!A:B,2,FALSE),""))</f>
        <v/>
      </c>
      <c r="I180" s="4" t="n"/>
      <c r="J180" s="5">
        <f>IF(OR(H180="",I180=""),"",ROUND(H180*I180,2))</f>
        <v/>
      </c>
      <c r="M180" s="4" t="n"/>
      <c r="N180" s="5">
        <f>IF(OR(L180="",M180=""),"",ROUND(L180*M180,2))</f>
        <v/>
      </c>
      <c r="Q180" s="4" t="n"/>
      <c r="R180" s="5">
        <f>IF(OR(P180="",Q180=""),"",ROUND(P180*Q180,2))</f>
        <v/>
      </c>
      <c r="S180" s="5">
        <f>IF(C180="","",SUM(J180,N180,R180))</f>
        <v/>
      </c>
      <c r="T180" s="5">
        <f>IF(C180="","",ROUND(S180*Settings!$B$2,2))</f>
        <v/>
      </c>
      <c r="U180" s="5">
        <f>IF(C180="","",S180+T180)</f>
        <v/>
      </c>
    </row>
    <row r="181">
      <c r="A181" s="3">
        <f>IF(C181="","","PO-"&amp;TEXT(ROW()-1,"0000"))</f>
        <v/>
      </c>
      <c r="D181" s="3">
        <f>IF(C181="","",IFERROR(VLOOKUP(C181,Suppliers!A:B,2,FALSE),""))</f>
        <v/>
      </c>
      <c r="I181" s="4" t="n"/>
      <c r="J181" s="5">
        <f>IF(OR(H181="",I181=""),"",ROUND(H181*I181,2))</f>
        <v/>
      </c>
      <c r="M181" s="4" t="n"/>
      <c r="N181" s="5">
        <f>IF(OR(L181="",M181=""),"",ROUND(L181*M181,2))</f>
        <v/>
      </c>
      <c r="Q181" s="4" t="n"/>
      <c r="R181" s="5">
        <f>IF(OR(P181="",Q181=""),"",ROUND(P181*Q181,2))</f>
        <v/>
      </c>
      <c r="S181" s="5">
        <f>IF(C181="","",SUM(J181,N181,R181))</f>
        <v/>
      </c>
      <c r="T181" s="5">
        <f>IF(C181="","",ROUND(S181*Settings!$B$2,2))</f>
        <v/>
      </c>
      <c r="U181" s="5">
        <f>IF(C181="","",S181+T181)</f>
        <v/>
      </c>
    </row>
    <row r="182">
      <c r="A182" s="3">
        <f>IF(C182="","","PO-"&amp;TEXT(ROW()-1,"0000"))</f>
        <v/>
      </c>
      <c r="D182" s="3">
        <f>IF(C182="","",IFERROR(VLOOKUP(C182,Suppliers!A:B,2,FALSE),""))</f>
        <v/>
      </c>
      <c r="I182" s="4" t="n"/>
      <c r="J182" s="5">
        <f>IF(OR(H182="",I182=""),"",ROUND(H182*I182,2))</f>
        <v/>
      </c>
      <c r="M182" s="4" t="n"/>
      <c r="N182" s="5">
        <f>IF(OR(L182="",M182=""),"",ROUND(L182*M182,2))</f>
        <v/>
      </c>
      <c r="Q182" s="4" t="n"/>
      <c r="R182" s="5">
        <f>IF(OR(P182="",Q182=""),"",ROUND(P182*Q182,2))</f>
        <v/>
      </c>
      <c r="S182" s="5">
        <f>IF(C182="","",SUM(J182,N182,R182))</f>
        <v/>
      </c>
      <c r="T182" s="5">
        <f>IF(C182="","",ROUND(S182*Settings!$B$2,2))</f>
        <v/>
      </c>
      <c r="U182" s="5">
        <f>IF(C182="","",S182+T182)</f>
        <v/>
      </c>
    </row>
    <row r="183">
      <c r="A183" s="3">
        <f>IF(C183="","","PO-"&amp;TEXT(ROW()-1,"0000"))</f>
        <v/>
      </c>
      <c r="D183" s="3">
        <f>IF(C183="","",IFERROR(VLOOKUP(C183,Suppliers!A:B,2,FALSE),""))</f>
        <v/>
      </c>
      <c r="I183" s="4" t="n"/>
      <c r="J183" s="5">
        <f>IF(OR(H183="",I183=""),"",ROUND(H183*I183,2))</f>
        <v/>
      </c>
      <c r="M183" s="4" t="n"/>
      <c r="N183" s="5">
        <f>IF(OR(L183="",M183=""),"",ROUND(L183*M183,2))</f>
        <v/>
      </c>
      <c r="Q183" s="4" t="n"/>
      <c r="R183" s="5">
        <f>IF(OR(P183="",Q183=""),"",ROUND(P183*Q183,2))</f>
        <v/>
      </c>
      <c r="S183" s="5">
        <f>IF(C183="","",SUM(J183,N183,R183))</f>
        <v/>
      </c>
      <c r="T183" s="5">
        <f>IF(C183="","",ROUND(S183*Settings!$B$2,2))</f>
        <v/>
      </c>
      <c r="U183" s="5">
        <f>IF(C183="","",S183+T183)</f>
        <v/>
      </c>
    </row>
    <row r="184">
      <c r="A184" s="3">
        <f>IF(C184="","","PO-"&amp;TEXT(ROW()-1,"0000"))</f>
        <v/>
      </c>
      <c r="D184" s="3">
        <f>IF(C184="","",IFERROR(VLOOKUP(C184,Suppliers!A:B,2,FALSE),""))</f>
        <v/>
      </c>
      <c r="I184" s="4" t="n"/>
      <c r="J184" s="5">
        <f>IF(OR(H184="",I184=""),"",ROUND(H184*I184,2))</f>
        <v/>
      </c>
      <c r="M184" s="4" t="n"/>
      <c r="N184" s="5">
        <f>IF(OR(L184="",M184=""),"",ROUND(L184*M184,2))</f>
        <v/>
      </c>
      <c r="Q184" s="4" t="n"/>
      <c r="R184" s="5">
        <f>IF(OR(P184="",Q184=""),"",ROUND(P184*Q184,2))</f>
        <v/>
      </c>
      <c r="S184" s="5">
        <f>IF(C184="","",SUM(J184,N184,R184))</f>
        <v/>
      </c>
      <c r="T184" s="5">
        <f>IF(C184="","",ROUND(S184*Settings!$B$2,2))</f>
        <v/>
      </c>
      <c r="U184" s="5">
        <f>IF(C184="","",S184+T184)</f>
        <v/>
      </c>
    </row>
    <row r="185">
      <c r="A185" s="3">
        <f>IF(C185="","","PO-"&amp;TEXT(ROW()-1,"0000"))</f>
        <v/>
      </c>
      <c r="D185" s="3">
        <f>IF(C185="","",IFERROR(VLOOKUP(C185,Suppliers!A:B,2,FALSE),""))</f>
        <v/>
      </c>
      <c r="I185" s="4" t="n"/>
      <c r="J185" s="5">
        <f>IF(OR(H185="",I185=""),"",ROUND(H185*I185,2))</f>
        <v/>
      </c>
      <c r="M185" s="4" t="n"/>
      <c r="N185" s="5">
        <f>IF(OR(L185="",M185=""),"",ROUND(L185*M185,2))</f>
        <v/>
      </c>
      <c r="Q185" s="4" t="n"/>
      <c r="R185" s="5">
        <f>IF(OR(P185="",Q185=""),"",ROUND(P185*Q185,2))</f>
        <v/>
      </c>
      <c r="S185" s="5">
        <f>IF(C185="","",SUM(J185,N185,R185))</f>
        <v/>
      </c>
      <c r="T185" s="5">
        <f>IF(C185="","",ROUND(S185*Settings!$B$2,2))</f>
        <v/>
      </c>
      <c r="U185" s="5">
        <f>IF(C185="","",S185+T185)</f>
        <v/>
      </c>
    </row>
    <row r="186">
      <c r="A186" s="3">
        <f>IF(C186="","","PO-"&amp;TEXT(ROW()-1,"0000"))</f>
        <v/>
      </c>
      <c r="D186" s="3">
        <f>IF(C186="","",IFERROR(VLOOKUP(C186,Suppliers!A:B,2,FALSE),""))</f>
        <v/>
      </c>
      <c r="I186" s="4" t="n"/>
      <c r="J186" s="5">
        <f>IF(OR(H186="",I186=""),"",ROUND(H186*I186,2))</f>
        <v/>
      </c>
      <c r="M186" s="4" t="n"/>
      <c r="N186" s="5">
        <f>IF(OR(L186="",M186=""),"",ROUND(L186*M186,2))</f>
        <v/>
      </c>
      <c r="Q186" s="4" t="n"/>
      <c r="R186" s="5">
        <f>IF(OR(P186="",Q186=""),"",ROUND(P186*Q186,2))</f>
        <v/>
      </c>
      <c r="S186" s="5">
        <f>IF(C186="","",SUM(J186,N186,R186))</f>
        <v/>
      </c>
      <c r="T186" s="5">
        <f>IF(C186="","",ROUND(S186*Settings!$B$2,2))</f>
        <v/>
      </c>
      <c r="U186" s="5">
        <f>IF(C186="","",S186+T186)</f>
        <v/>
      </c>
    </row>
    <row r="187">
      <c r="A187" s="3">
        <f>IF(C187="","","PO-"&amp;TEXT(ROW()-1,"0000"))</f>
        <v/>
      </c>
      <c r="D187" s="3">
        <f>IF(C187="","",IFERROR(VLOOKUP(C187,Suppliers!A:B,2,FALSE),""))</f>
        <v/>
      </c>
      <c r="I187" s="4" t="n"/>
      <c r="J187" s="5">
        <f>IF(OR(H187="",I187=""),"",ROUND(H187*I187,2))</f>
        <v/>
      </c>
      <c r="M187" s="4" t="n"/>
      <c r="N187" s="5">
        <f>IF(OR(L187="",M187=""),"",ROUND(L187*M187,2))</f>
        <v/>
      </c>
      <c r="Q187" s="4" t="n"/>
      <c r="R187" s="5">
        <f>IF(OR(P187="",Q187=""),"",ROUND(P187*Q187,2))</f>
        <v/>
      </c>
      <c r="S187" s="5">
        <f>IF(C187="","",SUM(J187,N187,R187))</f>
        <v/>
      </c>
      <c r="T187" s="5">
        <f>IF(C187="","",ROUND(S187*Settings!$B$2,2))</f>
        <v/>
      </c>
      <c r="U187" s="5">
        <f>IF(C187="","",S187+T187)</f>
        <v/>
      </c>
    </row>
    <row r="188">
      <c r="A188" s="3">
        <f>IF(C188="","","PO-"&amp;TEXT(ROW()-1,"0000"))</f>
        <v/>
      </c>
      <c r="D188" s="3">
        <f>IF(C188="","",IFERROR(VLOOKUP(C188,Suppliers!A:B,2,FALSE),""))</f>
        <v/>
      </c>
      <c r="I188" s="4" t="n"/>
      <c r="J188" s="5">
        <f>IF(OR(H188="",I188=""),"",ROUND(H188*I188,2))</f>
        <v/>
      </c>
      <c r="M188" s="4" t="n"/>
      <c r="N188" s="5">
        <f>IF(OR(L188="",M188=""),"",ROUND(L188*M188,2))</f>
        <v/>
      </c>
      <c r="Q188" s="4" t="n"/>
      <c r="R188" s="5">
        <f>IF(OR(P188="",Q188=""),"",ROUND(P188*Q188,2))</f>
        <v/>
      </c>
      <c r="S188" s="5">
        <f>IF(C188="","",SUM(J188,N188,R188))</f>
        <v/>
      </c>
      <c r="T188" s="5">
        <f>IF(C188="","",ROUND(S188*Settings!$B$2,2))</f>
        <v/>
      </c>
      <c r="U188" s="5">
        <f>IF(C188="","",S188+T188)</f>
        <v/>
      </c>
    </row>
    <row r="189">
      <c r="A189" s="3">
        <f>IF(C189="","","PO-"&amp;TEXT(ROW()-1,"0000"))</f>
        <v/>
      </c>
      <c r="D189" s="3">
        <f>IF(C189="","",IFERROR(VLOOKUP(C189,Suppliers!A:B,2,FALSE),""))</f>
        <v/>
      </c>
      <c r="I189" s="4" t="n"/>
      <c r="J189" s="5">
        <f>IF(OR(H189="",I189=""),"",ROUND(H189*I189,2))</f>
        <v/>
      </c>
      <c r="M189" s="4" t="n"/>
      <c r="N189" s="5">
        <f>IF(OR(L189="",M189=""),"",ROUND(L189*M189,2))</f>
        <v/>
      </c>
      <c r="Q189" s="4" t="n"/>
      <c r="R189" s="5">
        <f>IF(OR(P189="",Q189=""),"",ROUND(P189*Q189,2))</f>
        <v/>
      </c>
      <c r="S189" s="5">
        <f>IF(C189="","",SUM(J189,N189,R189))</f>
        <v/>
      </c>
      <c r="T189" s="5">
        <f>IF(C189="","",ROUND(S189*Settings!$B$2,2))</f>
        <v/>
      </c>
      <c r="U189" s="5">
        <f>IF(C189="","",S189+T189)</f>
        <v/>
      </c>
    </row>
    <row r="190">
      <c r="A190" s="3">
        <f>IF(C190="","","PO-"&amp;TEXT(ROW()-1,"0000"))</f>
        <v/>
      </c>
      <c r="D190" s="3">
        <f>IF(C190="","",IFERROR(VLOOKUP(C190,Suppliers!A:B,2,FALSE),""))</f>
        <v/>
      </c>
      <c r="I190" s="4" t="n"/>
      <c r="J190" s="5">
        <f>IF(OR(H190="",I190=""),"",ROUND(H190*I190,2))</f>
        <v/>
      </c>
      <c r="M190" s="4" t="n"/>
      <c r="N190" s="5">
        <f>IF(OR(L190="",M190=""),"",ROUND(L190*M190,2))</f>
        <v/>
      </c>
      <c r="Q190" s="4" t="n"/>
      <c r="R190" s="5">
        <f>IF(OR(P190="",Q190=""),"",ROUND(P190*Q190,2))</f>
        <v/>
      </c>
      <c r="S190" s="5">
        <f>IF(C190="","",SUM(J190,N190,R190))</f>
        <v/>
      </c>
      <c r="T190" s="5">
        <f>IF(C190="","",ROUND(S190*Settings!$B$2,2))</f>
        <v/>
      </c>
      <c r="U190" s="5">
        <f>IF(C190="","",S190+T190)</f>
        <v/>
      </c>
    </row>
    <row r="191">
      <c r="A191" s="3">
        <f>IF(C191="","","PO-"&amp;TEXT(ROW()-1,"0000"))</f>
        <v/>
      </c>
      <c r="D191" s="3">
        <f>IF(C191="","",IFERROR(VLOOKUP(C191,Suppliers!A:B,2,FALSE),""))</f>
        <v/>
      </c>
      <c r="I191" s="4" t="n"/>
      <c r="J191" s="5">
        <f>IF(OR(H191="",I191=""),"",ROUND(H191*I191,2))</f>
        <v/>
      </c>
      <c r="M191" s="4" t="n"/>
      <c r="N191" s="5">
        <f>IF(OR(L191="",M191=""),"",ROUND(L191*M191,2))</f>
        <v/>
      </c>
      <c r="Q191" s="4" t="n"/>
      <c r="R191" s="5">
        <f>IF(OR(P191="",Q191=""),"",ROUND(P191*Q191,2))</f>
        <v/>
      </c>
      <c r="S191" s="5">
        <f>IF(C191="","",SUM(J191,N191,R191))</f>
        <v/>
      </c>
      <c r="T191" s="5">
        <f>IF(C191="","",ROUND(S191*Settings!$B$2,2))</f>
        <v/>
      </c>
      <c r="U191" s="5">
        <f>IF(C191="","",S191+T191)</f>
        <v/>
      </c>
    </row>
    <row r="192">
      <c r="A192" s="3">
        <f>IF(C192="","","PO-"&amp;TEXT(ROW()-1,"0000"))</f>
        <v/>
      </c>
      <c r="D192" s="3">
        <f>IF(C192="","",IFERROR(VLOOKUP(C192,Suppliers!A:B,2,FALSE),""))</f>
        <v/>
      </c>
      <c r="I192" s="4" t="n"/>
      <c r="J192" s="5">
        <f>IF(OR(H192="",I192=""),"",ROUND(H192*I192,2))</f>
        <v/>
      </c>
      <c r="M192" s="4" t="n"/>
      <c r="N192" s="5">
        <f>IF(OR(L192="",M192=""),"",ROUND(L192*M192,2))</f>
        <v/>
      </c>
      <c r="Q192" s="4" t="n"/>
      <c r="R192" s="5">
        <f>IF(OR(P192="",Q192=""),"",ROUND(P192*Q192,2))</f>
        <v/>
      </c>
      <c r="S192" s="5">
        <f>IF(C192="","",SUM(J192,N192,R192))</f>
        <v/>
      </c>
      <c r="T192" s="5">
        <f>IF(C192="","",ROUND(S192*Settings!$B$2,2))</f>
        <v/>
      </c>
      <c r="U192" s="5">
        <f>IF(C192="","",S192+T192)</f>
        <v/>
      </c>
    </row>
    <row r="193">
      <c r="A193" s="3">
        <f>IF(C193="","","PO-"&amp;TEXT(ROW()-1,"0000"))</f>
        <v/>
      </c>
      <c r="D193" s="3">
        <f>IF(C193="","",IFERROR(VLOOKUP(C193,Suppliers!A:B,2,FALSE),""))</f>
        <v/>
      </c>
      <c r="I193" s="4" t="n"/>
      <c r="J193" s="5">
        <f>IF(OR(H193="",I193=""),"",ROUND(H193*I193,2))</f>
        <v/>
      </c>
      <c r="M193" s="4" t="n"/>
      <c r="N193" s="5">
        <f>IF(OR(L193="",M193=""),"",ROUND(L193*M193,2))</f>
        <v/>
      </c>
      <c r="Q193" s="4" t="n"/>
      <c r="R193" s="5">
        <f>IF(OR(P193="",Q193=""),"",ROUND(P193*Q193,2))</f>
        <v/>
      </c>
      <c r="S193" s="5">
        <f>IF(C193="","",SUM(J193,N193,R193))</f>
        <v/>
      </c>
      <c r="T193" s="5">
        <f>IF(C193="","",ROUND(S193*Settings!$B$2,2))</f>
        <v/>
      </c>
      <c r="U193" s="5">
        <f>IF(C193="","",S193+T193)</f>
        <v/>
      </c>
    </row>
    <row r="194">
      <c r="A194" s="3">
        <f>IF(C194="","","PO-"&amp;TEXT(ROW()-1,"0000"))</f>
        <v/>
      </c>
      <c r="D194" s="3">
        <f>IF(C194="","",IFERROR(VLOOKUP(C194,Suppliers!A:B,2,FALSE),""))</f>
        <v/>
      </c>
      <c r="I194" s="4" t="n"/>
      <c r="J194" s="5">
        <f>IF(OR(H194="",I194=""),"",ROUND(H194*I194,2))</f>
        <v/>
      </c>
      <c r="M194" s="4" t="n"/>
      <c r="N194" s="5">
        <f>IF(OR(L194="",M194=""),"",ROUND(L194*M194,2))</f>
        <v/>
      </c>
      <c r="Q194" s="4" t="n"/>
      <c r="R194" s="5">
        <f>IF(OR(P194="",Q194=""),"",ROUND(P194*Q194,2))</f>
        <v/>
      </c>
      <c r="S194" s="5">
        <f>IF(C194="","",SUM(J194,N194,R194))</f>
        <v/>
      </c>
      <c r="T194" s="5">
        <f>IF(C194="","",ROUND(S194*Settings!$B$2,2))</f>
        <v/>
      </c>
      <c r="U194" s="5">
        <f>IF(C194="","",S194+T194)</f>
        <v/>
      </c>
    </row>
    <row r="195">
      <c r="A195" s="3">
        <f>IF(C195="","","PO-"&amp;TEXT(ROW()-1,"0000"))</f>
        <v/>
      </c>
      <c r="D195" s="3">
        <f>IF(C195="","",IFERROR(VLOOKUP(C195,Suppliers!A:B,2,FALSE),""))</f>
        <v/>
      </c>
      <c r="I195" s="4" t="n"/>
      <c r="J195" s="5">
        <f>IF(OR(H195="",I195=""),"",ROUND(H195*I195,2))</f>
        <v/>
      </c>
      <c r="M195" s="4" t="n"/>
      <c r="N195" s="5">
        <f>IF(OR(L195="",M195=""),"",ROUND(L195*M195,2))</f>
        <v/>
      </c>
      <c r="Q195" s="4" t="n"/>
      <c r="R195" s="5">
        <f>IF(OR(P195="",Q195=""),"",ROUND(P195*Q195,2))</f>
        <v/>
      </c>
      <c r="S195" s="5">
        <f>IF(C195="","",SUM(J195,N195,R195))</f>
        <v/>
      </c>
      <c r="T195" s="5">
        <f>IF(C195="","",ROUND(S195*Settings!$B$2,2))</f>
        <v/>
      </c>
      <c r="U195" s="5">
        <f>IF(C195="","",S195+T195)</f>
        <v/>
      </c>
    </row>
    <row r="196">
      <c r="A196" s="3">
        <f>IF(C196="","","PO-"&amp;TEXT(ROW()-1,"0000"))</f>
        <v/>
      </c>
      <c r="D196" s="3">
        <f>IF(C196="","",IFERROR(VLOOKUP(C196,Suppliers!A:B,2,FALSE),""))</f>
        <v/>
      </c>
      <c r="I196" s="4" t="n"/>
      <c r="J196" s="5">
        <f>IF(OR(H196="",I196=""),"",ROUND(H196*I196,2))</f>
        <v/>
      </c>
      <c r="M196" s="4" t="n"/>
      <c r="N196" s="5">
        <f>IF(OR(L196="",M196=""),"",ROUND(L196*M196,2))</f>
        <v/>
      </c>
      <c r="Q196" s="4" t="n"/>
      <c r="R196" s="5">
        <f>IF(OR(P196="",Q196=""),"",ROUND(P196*Q196,2))</f>
        <v/>
      </c>
      <c r="S196" s="5">
        <f>IF(C196="","",SUM(J196,N196,R196))</f>
        <v/>
      </c>
      <c r="T196" s="5">
        <f>IF(C196="","",ROUND(S196*Settings!$B$2,2))</f>
        <v/>
      </c>
      <c r="U196" s="5">
        <f>IF(C196="","",S196+T196)</f>
        <v/>
      </c>
    </row>
    <row r="197">
      <c r="A197" s="3">
        <f>IF(C197="","","PO-"&amp;TEXT(ROW()-1,"0000"))</f>
        <v/>
      </c>
      <c r="D197" s="3">
        <f>IF(C197="","",IFERROR(VLOOKUP(C197,Suppliers!A:B,2,FALSE),""))</f>
        <v/>
      </c>
      <c r="I197" s="4" t="n"/>
      <c r="J197" s="5">
        <f>IF(OR(H197="",I197=""),"",ROUND(H197*I197,2))</f>
        <v/>
      </c>
      <c r="M197" s="4" t="n"/>
      <c r="N197" s="5">
        <f>IF(OR(L197="",M197=""),"",ROUND(L197*M197,2))</f>
        <v/>
      </c>
      <c r="Q197" s="4" t="n"/>
      <c r="R197" s="5">
        <f>IF(OR(P197="",Q197=""),"",ROUND(P197*Q197,2))</f>
        <v/>
      </c>
      <c r="S197" s="5">
        <f>IF(C197="","",SUM(J197,N197,R197))</f>
        <v/>
      </c>
      <c r="T197" s="5">
        <f>IF(C197="","",ROUND(S197*Settings!$B$2,2))</f>
        <v/>
      </c>
      <c r="U197" s="5">
        <f>IF(C197="","",S197+T197)</f>
        <v/>
      </c>
    </row>
    <row r="198">
      <c r="A198" s="3">
        <f>IF(C198="","","PO-"&amp;TEXT(ROW()-1,"0000"))</f>
        <v/>
      </c>
      <c r="D198" s="3">
        <f>IF(C198="","",IFERROR(VLOOKUP(C198,Suppliers!A:B,2,FALSE),""))</f>
        <v/>
      </c>
      <c r="I198" s="4" t="n"/>
      <c r="J198" s="5">
        <f>IF(OR(H198="",I198=""),"",ROUND(H198*I198,2))</f>
        <v/>
      </c>
      <c r="M198" s="4" t="n"/>
      <c r="N198" s="5">
        <f>IF(OR(L198="",M198=""),"",ROUND(L198*M198,2))</f>
        <v/>
      </c>
      <c r="Q198" s="4" t="n"/>
      <c r="R198" s="5">
        <f>IF(OR(P198="",Q198=""),"",ROUND(P198*Q198,2))</f>
        <v/>
      </c>
      <c r="S198" s="5">
        <f>IF(C198="","",SUM(J198,N198,R198))</f>
        <v/>
      </c>
      <c r="T198" s="5">
        <f>IF(C198="","",ROUND(S198*Settings!$B$2,2))</f>
        <v/>
      </c>
      <c r="U198" s="5">
        <f>IF(C198="","",S198+T198)</f>
        <v/>
      </c>
    </row>
    <row r="199">
      <c r="A199" s="3">
        <f>IF(C199="","","PO-"&amp;TEXT(ROW()-1,"0000"))</f>
        <v/>
      </c>
      <c r="D199" s="3">
        <f>IF(C199="","",IFERROR(VLOOKUP(C199,Suppliers!A:B,2,FALSE),""))</f>
        <v/>
      </c>
      <c r="I199" s="4" t="n"/>
      <c r="J199" s="5">
        <f>IF(OR(H199="",I199=""),"",ROUND(H199*I199,2))</f>
        <v/>
      </c>
      <c r="M199" s="4" t="n"/>
      <c r="N199" s="5">
        <f>IF(OR(L199="",M199=""),"",ROUND(L199*M199,2))</f>
        <v/>
      </c>
      <c r="Q199" s="4" t="n"/>
      <c r="R199" s="5">
        <f>IF(OR(P199="",Q199=""),"",ROUND(P199*Q199,2))</f>
        <v/>
      </c>
      <c r="S199" s="5">
        <f>IF(C199="","",SUM(J199,N199,R199))</f>
        <v/>
      </c>
      <c r="T199" s="5">
        <f>IF(C199="","",ROUND(S199*Settings!$B$2,2))</f>
        <v/>
      </c>
      <c r="U199" s="5">
        <f>IF(C199="","",S199+T199)</f>
        <v/>
      </c>
    </row>
    <row r="200">
      <c r="A200" s="3">
        <f>IF(C200="","","PO-"&amp;TEXT(ROW()-1,"0000"))</f>
        <v/>
      </c>
      <c r="D200" s="3">
        <f>IF(C200="","",IFERROR(VLOOKUP(C200,Suppliers!A:B,2,FALSE),""))</f>
        <v/>
      </c>
      <c r="I200" s="4" t="n"/>
      <c r="J200" s="5">
        <f>IF(OR(H200="",I200=""),"",ROUND(H200*I200,2))</f>
        <v/>
      </c>
      <c r="M200" s="4" t="n"/>
      <c r="N200" s="5">
        <f>IF(OR(L200="",M200=""),"",ROUND(L200*M200,2))</f>
        <v/>
      </c>
      <c r="Q200" s="4" t="n"/>
      <c r="R200" s="5">
        <f>IF(OR(P200="",Q200=""),"",ROUND(P200*Q200,2))</f>
        <v/>
      </c>
      <c r="S200" s="5">
        <f>IF(C200="","",SUM(J200,N200,R200))</f>
        <v/>
      </c>
      <c r="T200" s="5">
        <f>IF(C200="","",ROUND(S200*Settings!$B$2,2))</f>
        <v/>
      </c>
      <c r="U200" s="5">
        <f>IF(C200="","",S200+T200)</f>
        <v/>
      </c>
    </row>
    <row r="201">
      <c r="A201" s="3">
        <f>IF(C201="","","PO-"&amp;TEXT(ROW()-1,"0000"))</f>
        <v/>
      </c>
      <c r="D201" s="3">
        <f>IF(C201="","",IFERROR(VLOOKUP(C201,Suppliers!A:B,2,FALSE),""))</f>
        <v/>
      </c>
      <c r="I201" s="4" t="n"/>
      <c r="J201" s="5">
        <f>IF(OR(H201="",I201=""),"",ROUND(H201*I201,2))</f>
        <v/>
      </c>
      <c r="M201" s="4" t="n"/>
      <c r="N201" s="5">
        <f>IF(OR(L201="",M201=""),"",ROUND(L201*M201,2))</f>
        <v/>
      </c>
      <c r="Q201" s="4" t="n"/>
      <c r="R201" s="5">
        <f>IF(OR(P201="",Q201=""),"",ROUND(P201*Q201,2))</f>
        <v/>
      </c>
      <c r="S201" s="5">
        <f>IF(C201="","",SUM(J201,N201,R201))</f>
        <v/>
      </c>
      <c r="T201" s="5">
        <f>IF(C201="","",ROUND(S201*Settings!$B$2,2))</f>
        <v/>
      </c>
      <c r="U201" s="5">
        <f>IF(C201="","",S201+T201)</f>
        <v/>
      </c>
    </row>
  </sheetData>
  <dataValidations count="1">
    <dataValidation sqref="W2:W201" showDropDown="0" showInputMessage="0" showErrorMessage="0" allowBlank="1" type="list">
      <formula1>"Draft,Ready,Needs approval,Approved,Sent,Received,Cancelled"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10" customWidth="1" min="4" max="4"/>
  </cols>
  <sheetData>
    <row r="1">
      <c r="A1" s="6" t="inlineStr">
        <is>
          <t>Supplier</t>
        </is>
      </c>
      <c r="B1" s="6" t="inlineStr">
        <is>
          <t>Email</t>
        </is>
      </c>
      <c r="C1" s="6" t="inlineStr">
        <is>
          <t>Payment terms</t>
        </is>
      </c>
      <c r="D1" s="6" t="inlineStr">
        <is>
          <t>Currency</t>
        </is>
      </c>
    </row>
    <row r="2">
      <c r="A2" t="inlineStr">
        <is>
          <t>Bright Packaging</t>
        </is>
      </c>
      <c r="B2" t="inlineStr">
        <is>
          <t>orders@example.com</t>
        </is>
      </c>
      <c r="C2" t="inlineStr">
        <is>
          <t>30 days</t>
        </is>
      </c>
      <c r="D2" t="inlineStr">
        <is>
          <t>SGD</t>
        </is>
      </c>
    </row>
    <row r="3">
      <c r="A3" t="inlineStr">
        <is>
          <t>Harbour Supplies</t>
        </is>
      </c>
      <c r="B3" t="inlineStr">
        <is>
          <t>sales@example.com</t>
        </is>
      </c>
      <c r="C3" t="inlineStr">
        <is>
          <t>14 days</t>
        </is>
      </c>
      <c r="D3" t="inlineStr">
        <is>
          <t>SGD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90" customWidth="1" min="3" max="3"/>
  </cols>
  <sheetData>
    <row r="1">
      <c r="A1" s="6" t="inlineStr">
        <is>
          <t>Setting</t>
        </is>
      </c>
      <c r="B1" s="6" t="inlineStr">
        <is>
          <t>Value</t>
        </is>
      </c>
      <c r="C1" s="6" t="inlineStr">
        <is>
          <t>Notes</t>
        </is>
      </c>
    </row>
    <row r="2">
      <c r="A2" t="inlineStr">
        <is>
          <t>GST rate</t>
        </is>
      </c>
      <c r="B2" s="7" t="n">
        <v>0.09</v>
      </c>
      <c r="C2" t="inlineStr">
        <is>
          <t>9% for GST-registered businesses in Singapore. Set to 0 if you are not GST-registered.</t>
        </is>
      </c>
    </row>
    <row r="3">
      <c r="A3" t="inlineStr">
        <is>
          <t>Approval limit</t>
        </is>
      </c>
      <c r="B3" t="n">
        <v>1000</v>
      </c>
      <c r="C3" t="inlineStr">
        <is>
          <t>POs with a total above this go to the approver first (used by the Make scenario).</t>
        </is>
      </c>
    </row>
    <row r="4">
      <c r="A4" t="inlineStr">
        <is>
          <t>Approver email</t>
        </is>
      </c>
      <c r="B4" t="inlineStr">
        <is>
          <t>owner@example.com</t>
        </is>
      </c>
      <c r="C4" t="inlineStr">
        <is>
          <t>Who approves POs above the limit.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2026-09-30T06:15:42Z</dcterms:created>
  <dcterms:modified xmlns:dcterms="http://purl.org/dc/terms/" xmlns:xsi="http://www.w3.org/2001/XMLSchema-instance" xsi:type="dcterms:W3CDTF">2026-09-30T06:15:42Z</dcterms:modified>
</cp:coreProperties>
</file>